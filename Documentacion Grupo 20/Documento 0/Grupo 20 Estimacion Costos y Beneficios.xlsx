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1" documentId="11_CBDCEDFED704D3CFBD88B465B8FD186A765C8008" xr6:coauthVersionLast="47" xr6:coauthVersionMax="47" xr10:uidLastSave="{087F19FF-885B-4EB7-9C84-B0A69B4D660E}"/>
  <bookViews>
    <workbookView xWindow="0" yWindow="0" windowWidth="16384" windowHeight="8192" tabRatio="500" xr2:uid="{00000000-000D-0000-FFFF-FFFF00000000}"/>
  </bookViews>
  <sheets>
    <sheet name="A.1 Costos" sheetId="1" r:id="rId1"/>
    <sheet name="A.2 Beneficios" sheetId="2" r:id="rId2"/>
    <sheet name="A.3 Flujo de caja" sheetId="3" r:id="rId3"/>
    <sheet name="A.4 Indicadores" sheetId="4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2" l="1"/>
  <c r="C9" i="2"/>
  <c r="C8" i="2"/>
  <c r="C7" i="2"/>
  <c r="C6" i="2"/>
  <c r="C5" i="2"/>
  <c r="C10" i="2" s="1"/>
  <c r="B7" i="4" s="1"/>
  <c r="C6" i="1"/>
  <c r="D5" i="1"/>
  <c r="C7" i="1" l="1"/>
  <c r="D6" i="1"/>
  <c r="B6" i="4"/>
  <c r="B17" i="3"/>
  <c r="B16" i="3"/>
  <c r="B15" i="3"/>
  <c r="B14" i="3"/>
  <c r="B13" i="3"/>
  <c r="B12" i="3"/>
  <c r="B11" i="3"/>
  <c r="B10" i="3"/>
  <c r="B9" i="3"/>
  <c r="B8" i="3"/>
  <c r="B7" i="3"/>
  <c r="B6" i="3"/>
  <c r="B18" i="3" l="1"/>
  <c r="C8" i="1"/>
  <c r="D7" i="1"/>
  <c r="D8" i="1" l="1"/>
  <c r="C9" i="1"/>
  <c r="C17" i="3" l="1"/>
  <c r="D17" i="3" s="1"/>
  <c r="C16" i="3"/>
  <c r="D16" i="3" s="1"/>
  <c r="C15" i="3"/>
  <c r="D15" i="3" s="1"/>
  <c r="C14" i="3"/>
  <c r="D14" i="3" s="1"/>
  <c r="C13" i="3"/>
  <c r="D13" i="3" s="1"/>
  <c r="C12" i="3"/>
  <c r="D12" i="3" s="1"/>
  <c r="C11" i="3"/>
  <c r="D11" i="3" s="1"/>
  <c r="C10" i="3"/>
  <c r="D10" i="3" s="1"/>
  <c r="C9" i="3"/>
  <c r="D9" i="3" s="1"/>
  <c r="C8" i="3"/>
  <c r="D8" i="3" s="1"/>
  <c r="C7" i="3"/>
  <c r="D7" i="3" s="1"/>
  <c r="C6" i="3"/>
  <c r="D6" i="3" s="1"/>
  <c r="D9" i="1"/>
  <c r="D10" i="1" l="1"/>
  <c r="C5" i="3" l="1"/>
  <c r="D12" i="1"/>
  <c r="B5" i="4" s="1"/>
  <c r="B8" i="4" s="1"/>
  <c r="C18" i="3" l="1"/>
  <c r="D5" i="3"/>
  <c r="D18" i="3" l="1"/>
  <c r="E5" i="3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</calcChain>
</file>

<file path=xl/sharedStrings.xml><?xml version="1.0" encoding="utf-8"?>
<sst xmlns="http://schemas.openxmlformats.org/spreadsheetml/2006/main" count="94" uniqueCount="89">
  <si>
    <t>Tabla A.1 — Resumen de costos del proyecto</t>
  </si>
  <si>
    <t>Equipo de 7 integrantes (1 Jefe de Proyecto + 6 Programadores) · Período: 12 meses</t>
  </si>
  <si>
    <t>Concepto</t>
  </si>
  <si>
    <t>Detalle</t>
  </si>
  <si>
    <t>Monto mensual</t>
  </si>
  <si>
    <t>Monto anual</t>
  </si>
  <si>
    <t>Jefe de Proyecto</t>
  </si>
  <si>
    <t>Sueldo mensual $1.200.000</t>
  </si>
  <si>
    <t>Programadores</t>
  </si>
  <si>
    <t>Sueldo mensual $900.000 c/u (6 personas)</t>
  </si>
  <si>
    <t>Total RRHH</t>
  </si>
  <si>
    <t>Suma de sueldos</t>
  </si>
  <si>
    <t>Indirectos</t>
  </si>
  <si>
    <t>Arriendo, servicios, materiales, imprevistos (15% RRHH)</t>
  </si>
  <si>
    <t>Total mensual con indirectos</t>
  </si>
  <si>
    <t>RRHH + Indirectos</t>
  </si>
  <si>
    <t>Caja / Contingencia</t>
  </si>
  <si>
    <t>10% del total anual con indirectos</t>
  </si>
  <si>
    <t>Costo Licencias</t>
  </si>
  <si>
    <t>Software libre – sin costo adicional</t>
  </si>
  <si>
    <t>Costo Total Proyecto</t>
  </si>
  <si>
    <t>RRHH + Indirectos + Caja + Licencias</t>
  </si>
  <si>
    <t>Fuente: Elaborado por el equipo de trabajo de acuerdo con el proyecto.</t>
  </si>
  <si>
    <t>Tabla A.2 — Beneficios estimados del proyecto</t>
  </si>
  <si>
    <t>Beneficios operacionales esperados tras la implementación del sistema</t>
  </si>
  <si>
    <t>Fuente de beneficio</t>
  </si>
  <si>
    <t>Beneficio mensual</t>
  </si>
  <si>
    <t>Beneficio anual</t>
  </si>
  <si>
    <t>Supuesto</t>
  </si>
  <si>
    <t>Ahorro en horas de trabajo manual</t>
  </si>
  <si>
    <t>~10 hrs/mes × $8.000/hr</t>
  </si>
  <si>
    <t>Reducción de errores y pérdidas de stock</t>
  </si>
  <si>
    <t>Pérdidas evitadas estimadas</t>
  </si>
  <si>
    <t>Ahorro en gestión de facturas</t>
  </si>
  <si>
    <t>Horas administrativas ahorradas</t>
  </si>
  <si>
    <t>Mejora en ventas por stock disponible</t>
  </si>
  <si>
    <t>~2% incremento en ventas</t>
  </si>
  <si>
    <t>Reducción de quiebres de stock</t>
  </si>
  <si>
    <t>Ventas perdidas evitadas</t>
  </si>
  <si>
    <t>BENEFICIO TOTAL</t>
  </si>
  <si>
    <t>Tabla A.3 — Flujo de caja proyectado a 12 meses</t>
  </si>
  <si>
    <t>Mes 0: desembolso de caja/contingencia. Meses 1–12: costos operativos de RRHH e indirectos vs. beneficios mensuales.</t>
  </si>
  <si>
    <t>Período</t>
  </si>
  <si>
    <t>Ingresos / Beneficios</t>
  </si>
  <si>
    <t>Egresos / Costos</t>
  </si>
  <si>
    <t>Flujo neto</t>
  </si>
  <si>
    <t>Flujo acumulado</t>
  </si>
  <si>
    <t>Mes 0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</si>
  <si>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</si>
  <si>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</si>
  <si>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</si>
  <si>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</si>
  <si>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</si>
  <si>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</si>
  <si>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</si>
  <si>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</si>
  <si>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</si>
  <si>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</si>
  <si>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</si>
  <si>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</si>
  <si>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TOTAL AÑO</t>
  </si>
  <si>
    <t>Nota: el Mes 0 corresponde al desembolso de la caja/contingencia (-$9.108.000). Los meses 1 al 12 incluyen el costo mensual de RRHH e indirectos (-$7.590.000) con beneficios operacionales de $460.000 mensuales.</t>
  </si>
  <si>
    <t>Tabla A.4 — Indicadores financieros</t>
  </si>
  <si>
    <t>Indicadores evaluados sobre el período de desarrollo de 12 meses</t>
  </si>
  <si>
    <t>Indicador</t>
  </si>
  <si>
    <t>Valor</t>
  </si>
  <si>
    <t>Interpretación</t>
  </si>
  <si>
    <t>Inversión total</t>
  </si>
  <si>
    <t>Suma de RRHH + Indirectos + Caja + Licencias</t>
  </si>
  <si>
    <t>Ahorro y mejoras operacionales mensuales estimados</t>
  </si>
  <si>
    <t>Beneficio mensual × 12 meses</t>
  </si>
  <si>
    <t>Ganancia neta anual</t>
  </si>
  <si>
    <t>Beneficio anual − Inversión total</t>
  </si>
  <si>
    <t>ROI</t>
  </si>
  <si>
    <t>Negativo en el primer año; proyecto de valor estratégico y social</t>
  </si>
  <si>
    <t>VAN</t>
  </si>
  <si>
    <t>Negativo</t>
  </si>
  <si>
    <t>Proyecto académico de primer desarrollo; valor social/operacional justifica la inversión</t>
  </si>
  <si>
    <t>TIR</t>
  </si>
  <si>
    <t>N/D</t>
  </si>
  <si>
    <t>No alcanza tasa positiva en el período de desarrollo; se evalúa en fase de operación</t>
  </si>
  <si>
    <t>Período de recuperación</t>
  </si>
  <si>
    <t>&gt;12 meses</t>
  </si>
  <si>
    <t>Se requiere fase de operación para recuperar la inversión</t>
  </si>
  <si>
    <t>Notas complementarias</t>
  </si>
  <si>
    <t>Naturaleza del proyecto: El presente proyecto corresponde al desarrollo inicial de un sistema de información a medida para Minimarket Antucayen, no a la operación continua del software. El flujo de caja del año de desarrollo es estructuralmente negativo y no debe interpretarse como falta de viabilidad, sino como la inversión inicial de cualquier proyecto de software a medida.</t>
  </si>
  <si>
    <t>Justificación del costo mensual: $7.590.000 = $6.600.000 en remuneraciones (7 integrantes) + 15% de costos indirectos. La caja de contingencia del 10% ($9.108.000) es práctica estándar para cubrir desviaciones. No hay costos de licencias por uso de tecnologías de código abierto.</t>
  </si>
  <si>
    <t>Análisis de sensibilidad: Escenario conservador: $460.000/mes (supuestos auditables). Escenario optimista con uso intensivo, capacitación efectiva y crecimiento de 4% en ventas: hasta $850.000/mes, reduciendo el período de recuperación a ~24 meses post-entrega.</t>
  </si>
  <si>
    <t>Horizonte real de evaluación: Considerando una vida útil de 5 años post-entrega y beneficios constantes de $460.000/mes, el flujo acumulado se vuelve positivo entre el año 4 y 5 de operación, generando un VAN positivo en el escenario base y ROI positivo a partir del año 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</si>
</sst>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&quot;-$&quot;#,##0;\-"/>
    <numFmt numFmtId="165" formatCode="0.0%;\-0.0%;\-"/>
  </numFmts>
  <fonts count="1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000000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FFFFFF"/>
      <name val="Arial"/>
      <charset val="1"/>
    </font>
    <font>
      <i/>
      <sz val="9"/>
      <color rgb="FF555555"/>
      <name val="Arial"/>
      <charset val="1"/>
    </font>
    <font>
      <i/>
      <sz val="9"/>
      <color rgb="FF333333"/>
      <name val="Arial"/>
      <charset val="1"/>
    </font>
    <font>
      <b/>
      <sz val="11"/>
      <color rgb="FF1F3D1F"/>
      <name val="Arial"/>
      <charset val="1"/>
    </font>
    <font>
      <sz val="9"/>
      <color rgb="FF333333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D1F"/>
        <bgColor rgb="FF333333"/>
      </patternFill>
    </fill>
    <fill>
      <patternFill patternType="solid">
        <fgColor rgb="FF2E5530"/>
        <bgColor rgb="FF1F3D1F"/>
      </patternFill>
    </fill>
    <fill>
      <patternFill patternType="solid">
        <fgColor rgb="FFD6E5D6"/>
        <bgColor rgb="FFCCCCFF"/>
      </patternFill>
    </fill>
    <fill>
      <patternFill patternType="solid">
        <fgColor rgb="FFB8902E"/>
        <bgColor rgb="FF99999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0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164" fontId="4" fillId="4" borderId="1" xfId="0" applyNumberFormat="1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6" fillId="5" borderId="1" xfId="0" applyFont="1" applyFill="1" applyBorder="1"/>
    <xf numFmtId="164" fontId="6" fillId="5" borderId="1" xfId="0" applyNumberFormat="1" applyFont="1" applyFill="1" applyBorder="1"/>
    <xf numFmtId="0" fontId="7" fillId="0" borderId="0" xfId="0" applyFont="1"/>
    <xf numFmtId="0" fontId="5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165" fontId="4" fillId="4" borderId="1" xfId="0" applyNumberFormat="1" applyFont="1" applyFill="1" applyBorder="1" applyAlignment="1">
      <alignment horizontal="right" vertical="center"/>
    </xf>
    <xf numFmtId="49" fontId="4" fillId="0" borderId="1" xfId="0" applyNumberFormat="1" applyFont="1" applyBorder="1" applyAlignment="1">
      <alignment horizontal="right" vertical="center"/>
    </xf>
    <xf numFmtId="49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902E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5D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2E5530"/>
      <rgbColor rgb="FF1F3D1F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zoomScaleNormal="100" workbookViewId="0"/>
  </sheetViews>
  <sheetFormatPr defaultColWidth="8.7109375" defaultRowHeight="15"/>
  <cols>
    <col min="1" max="1" width="30" customWidth="1"/>
    <col min="2" max="2" width="45" customWidth="1"/>
    <col min="3" max="4" width="18" customWidth="1"/>
  </cols>
  <sheetData>
    <row r="1" spans="1:4" ht="27.75" customHeight="1">
      <c r="A1" s="4" t="s">
        <v>0</v>
      </c>
      <c r="B1" s="4"/>
      <c r="C1" s="4"/>
      <c r="D1" s="4"/>
    </row>
    <row r="2" spans="1:4">
      <c r="A2" s="3" t="s">
        <v>1</v>
      </c>
      <c r="B2" s="3"/>
      <c r="C2" s="3"/>
      <c r="D2" s="3"/>
    </row>
    <row r="4" spans="1:4" ht="30" customHeight="1">
      <c r="A4" s="5" t="s">
        <v>2</v>
      </c>
      <c r="B4" s="5" t="s">
        <v>3</v>
      </c>
      <c r="C4" s="5" t="s">
        <v>4</v>
      </c>
      <c r="D4" s="5" t="s">
        <v>5</v>
      </c>
    </row>
    <row r="5" spans="1:4">
      <c r="A5" s="6" t="s">
        <v>6</v>
      </c>
      <c r="B5" s="6" t="s">
        <v>7</v>
      </c>
      <c r="C5" s="7">
        <v>1200000</v>
      </c>
      <c r="D5" s="7">
        <f>C5*12</f>
        <v>14400000</v>
      </c>
    </row>
    <row r="6" spans="1:4">
      <c r="A6" s="8" t="s">
        <v>8</v>
      </c>
      <c r="B6" s="8" t="s">
        <v>9</v>
      </c>
      <c r="C6" s="9">
        <f>900000*6</f>
        <v>5400000</v>
      </c>
      <c r="D6" s="9">
        <f>C6*12</f>
        <v>64800000</v>
      </c>
    </row>
    <row r="7" spans="1:4">
      <c r="A7" s="10" t="s">
        <v>10</v>
      </c>
      <c r="B7" s="10" t="s">
        <v>11</v>
      </c>
      <c r="C7" s="11">
        <f>C5+C6</f>
        <v>6600000</v>
      </c>
      <c r="D7" s="11">
        <f>C7*12</f>
        <v>79200000</v>
      </c>
    </row>
    <row r="8" spans="1:4">
      <c r="A8" s="8" t="s">
        <v>12</v>
      </c>
      <c r="B8" s="8" t="s">
        <v>13</v>
      </c>
      <c r="C8" s="9">
        <f>ROUND(C7*0.15,0)</f>
        <v>990000</v>
      </c>
      <c r="D8" s="9">
        <f>C8*12</f>
        <v>11880000</v>
      </c>
    </row>
    <row r="9" spans="1:4">
      <c r="A9" s="10" t="s">
        <v>14</v>
      </c>
      <c r="B9" s="10" t="s">
        <v>15</v>
      </c>
      <c r="C9" s="11">
        <f>C7+C8</f>
        <v>7590000</v>
      </c>
      <c r="D9" s="11">
        <f>C9*12</f>
        <v>91080000</v>
      </c>
    </row>
    <row r="10" spans="1:4">
      <c r="A10" s="8" t="s">
        <v>16</v>
      </c>
      <c r="B10" s="8" t="s">
        <v>17</v>
      </c>
      <c r="C10" s="9"/>
      <c r="D10" s="9">
        <f>ROUND(D9*0.1,0)</f>
        <v>9108000</v>
      </c>
    </row>
    <row r="11" spans="1:4">
      <c r="A11" s="6" t="s">
        <v>18</v>
      </c>
      <c r="B11" s="6" t="s">
        <v>19</v>
      </c>
      <c r="C11" s="7">
        <v>0</v>
      </c>
      <c r="D11" s="7">
        <v>0</v>
      </c>
    </row>
    <row r="12" spans="1:4">
      <c r="A12" s="12" t="s">
        <v>20</v>
      </c>
      <c r="B12" s="12" t="s">
        <v>21</v>
      </c>
      <c r="C12" s="13"/>
      <c r="D12" s="13">
        <f>D9+D10+D11</f>
        <v>100188000</v>
      </c>
    </row>
    <row r="14" spans="1:4">
      <c r="A14" s="14" t="s">
        <v>22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zoomScaleNormal="100" workbookViewId="0"/>
  </sheetViews>
  <sheetFormatPr defaultColWidth="8.7109375" defaultRowHeight="15"/>
  <cols>
    <col min="1" max="1" width="40" customWidth="1"/>
    <col min="2" max="3" width="20" customWidth="1"/>
    <col min="4" max="4" width="38" customWidth="1"/>
  </cols>
  <sheetData>
    <row r="1" spans="1:4" ht="27.75" customHeight="1">
      <c r="A1" s="4" t="s">
        <v>23</v>
      </c>
      <c r="B1" s="4"/>
      <c r="C1" s="4"/>
      <c r="D1" s="4"/>
    </row>
    <row r="2" spans="1:4">
      <c r="A2" s="3" t="s">
        <v>24</v>
      </c>
      <c r="B2" s="3"/>
      <c r="C2" s="3"/>
      <c r="D2" s="3"/>
    </row>
    <row r="4" spans="1:4" ht="30" customHeight="1">
      <c r="A4" s="5" t="s">
        <v>25</v>
      </c>
      <c r="B4" s="5" t="s">
        <v>26</v>
      </c>
      <c r="C4" s="5" t="s">
        <v>27</v>
      </c>
      <c r="D4" s="5" t="s">
        <v>28</v>
      </c>
    </row>
    <row r="5" spans="1:4">
      <c r="A5" s="6" t="s">
        <v>29</v>
      </c>
      <c r="B5" s="7">
        <v>80000</v>
      </c>
      <c r="C5" s="7">
        <f>B5*12</f>
        <v>960000</v>
      </c>
      <c r="D5" s="6" t="s">
        <v>30</v>
      </c>
    </row>
    <row r="6" spans="1:4">
      <c r="A6" s="8" t="s">
        <v>31</v>
      </c>
      <c r="B6" s="9">
        <v>120000</v>
      </c>
      <c r="C6" s="9">
        <f>B6*12</f>
        <v>1440000</v>
      </c>
      <c r="D6" s="8" t="s">
        <v>32</v>
      </c>
    </row>
    <row r="7" spans="1:4">
      <c r="A7" s="6" t="s">
        <v>33</v>
      </c>
      <c r="B7" s="7">
        <v>50000</v>
      </c>
      <c r="C7" s="7">
        <f>B7*12</f>
        <v>600000</v>
      </c>
      <c r="D7" s="6" t="s">
        <v>34</v>
      </c>
    </row>
    <row r="8" spans="1:4">
      <c r="A8" s="8" t="s">
        <v>35</v>
      </c>
      <c r="B8" s="9">
        <v>150000</v>
      </c>
      <c r="C8" s="9">
        <f>B8*12</f>
        <v>1800000</v>
      </c>
      <c r="D8" s="8" t="s">
        <v>36</v>
      </c>
    </row>
    <row r="9" spans="1:4">
      <c r="A9" s="6" t="s">
        <v>37</v>
      </c>
      <c r="B9" s="7">
        <v>60000</v>
      </c>
      <c r="C9" s="7">
        <f>B9*12</f>
        <v>720000</v>
      </c>
      <c r="D9" s="6" t="s">
        <v>38</v>
      </c>
    </row>
    <row r="10" spans="1:4">
      <c r="A10" s="12" t="s">
        <v>39</v>
      </c>
      <c r="B10" s="13">
        <f>SUM(B5:B9)</f>
        <v>460000</v>
      </c>
      <c r="C10" s="13">
        <f>SUM(C5:C9)</f>
        <v>5520000</v>
      </c>
      <c r="D10" s="12"/>
    </row>
    <row r="12" spans="1:4">
      <c r="A12" s="14" t="s">
        <v>22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zoomScaleNormal="100" workbookViewId="0"/>
  </sheetViews>
  <sheetFormatPr defaultColWidth="8.7109375" defaultRowHeight="15"/>
  <cols>
    <col min="1" max="1" width="14" customWidth="1"/>
    <col min="2" max="2" width="22" customWidth="1"/>
    <col min="3" max="3" width="20" customWidth="1"/>
    <col min="4" max="4" width="18" customWidth="1"/>
    <col min="5" max="5" width="22" customWidth="1"/>
  </cols>
  <sheetData>
    <row r="1" spans="1:5" ht="27.75" customHeight="1">
      <c r="A1" s="4" t="s">
        <v>40</v>
      </c>
      <c r="B1" s="4"/>
      <c r="C1" s="4"/>
      <c r="D1" s="4"/>
      <c r="E1" s="4"/>
    </row>
    <row r="2" spans="1:5">
      <c r="A2" s="3" t="s">
        <v>41</v>
      </c>
      <c r="B2" s="3"/>
      <c r="C2" s="3"/>
      <c r="D2" s="3"/>
      <c r="E2" s="3"/>
    </row>
    <row r="4" spans="1:5" ht="30" customHeight="1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</row>
    <row r="5" spans="1:5">
      <c r="A5" s="10" t="s">
        <v>47</v>
      </c>
      <c r="B5" s="11">
        <v>0</v>
      </c>
      <c r="C5" s="11">
        <f>'A.1 Costos'!D10</f>
        <v>9108000</v>
      </c>
      <c r="D5" s="11">
        <f>B5-C5</f>
        <v>-9108000</v>
      </c>
      <c r="E5" s="11">
        <f>D5</f>
        <v>-9108000</v>
      </c>
    </row>
    <row r="6" spans="1:5">
      <c r="A6" s="8" t="s">
        <v>48</v>
      </c>
      <c r="B6" s="9">
        <f>'A.2 Beneficios'!B10</f>
        <v>460000</v>
      </c>
      <c r="C6" s="9">
        <f>'A.1 Costos'!C9</f>
        <v>7590000</v>
      </c>
      <c r="D6" s="9">
        <f>B6-C6</f>
        <v>-7130000</v>
      </c>
      <c r="E6" s="9">
        <f>E5+D6</f>
        <v>-16238000</v>
      </c>
    </row>
    <row r="7" spans="1:5">
      <c r="A7" s="6" t="s">
        <v>49</v>
      </c>
      <c r="B7" s="7">
        <f>'A.2 Beneficios'!B10</f>
        <v>460000</v>
      </c>
      <c r="C7" s="7">
        <f>'A.1 Costos'!C9</f>
        <v>7590000</v>
      </c>
      <c r="D7" s="7">
        <f>B7-C7</f>
        <v>-7130000</v>
      </c>
      <c r="E7" s="7">
        <f>E6+D7</f>
        <v>-23368000</v>
      </c>
    </row>
    <row r="8" spans="1:5">
      <c r="A8" s="8" t="s">
        <v>50</v>
      </c>
      <c r="B8" s="9">
        <f>'A.2 Beneficios'!B10</f>
        <v>460000</v>
      </c>
      <c r="C8" s="9">
        <f>'A.1 Costos'!C9</f>
        <v>7590000</v>
      </c>
      <c r="D8" s="9">
        <f>B8-C8</f>
        <v>-7130000</v>
      </c>
      <c r="E8" s="9">
        <f>E7+D8</f>
        <v>-30498000</v>
      </c>
    </row>
    <row r="9" spans="1:5">
      <c r="A9" s="6" t="s">
        <v>51</v>
      </c>
      <c r="B9" s="7">
        <f>'A.2 Beneficios'!B10</f>
        <v>460000</v>
      </c>
      <c r="C9" s="7">
        <f>'A.1 Costos'!C9</f>
        <v>7590000</v>
      </c>
      <c r="D9" s="7">
        <f>B9-C9</f>
        <v>-7130000</v>
      </c>
      <c r="E9" s="7">
        <f>E8+D9</f>
        <v>-37628000</v>
      </c>
    </row>
    <row r="10" spans="1:5">
      <c r="A10" s="8" t="s">
        <v>52</v>
      </c>
      <c r="B10" s="9">
        <f>'A.2 Beneficios'!B10</f>
        <v>460000</v>
      </c>
      <c r="C10" s="9">
        <f>'A.1 Costos'!C9</f>
        <v>7590000</v>
      </c>
      <c r="D10" s="9">
        <f>B10-C10</f>
        <v>-7130000</v>
      </c>
      <c r="E10" s="9">
        <f>E9+D10</f>
        <v>-44758000</v>
      </c>
    </row>
    <row r="11" spans="1:5">
      <c r="A11" s="6" t="s">
        <v>53</v>
      </c>
      <c r="B11" s="7">
        <f>'A.2 Beneficios'!B10</f>
        <v>460000</v>
      </c>
      <c r="C11" s="7">
        <f>'A.1 Costos'!C9</f>
        <v>7590000</v>
      </c>
      <c r="D11" s="7">
        <f>B11-C11</f>
        <v>-7130000</v>
      </c>
      <c r="E11" s="7">
        <f>E10+D11</f>
        <v>-51888000</v>
      </c>
    </row>
    <row r="12" spans="1:5">
      <c r="A12" s="8" t="s">
        <v>54</v>
      </c>
      <c r="B12" s="9">
        <f>'A.2 Beneficios'!B10</f>
        <v>460000</v>
      </c>
      <c r="C12" s="9">
        <f>'A.1 Costos'!C9</f>
        <v>7590000</v>
      </c>
      <c r="D12" s="9">
        <f>B12-C12</f>
        <v>-7130000</v>
      </c>
      <c r="E12" s="9">
        <f>E11+D12</f>
        <v>-59018000</v>
      </c>
    </row>
    <row r="13" spans="1:5">
      <c r="A13" s="6" t="s">
        <v>55</v>
      </c>
      <c r="B13" s="7">
        <f>'A.2 Beneficios'!B10</f>
        <v>460000</v>
      </c>
      <c r="C13" s="7">
        <f>'A.1 Costos'!C9</f>
        <v>7590000</v>
      </c>
      <c r="D13" s="7">
        <f>B13-C13</f>
        <v>-7130000</v>
      </c>
      <c r="E13" s="7">
        <f>E12+D13</f>
        <v>-66148000</v>
      </c>
    </row>
    <row r="14" spans="1:5">
      <c r="A14" s="8" t="s">
        <v>56</v>
      </c>
      <c r="B14" s="9">
        <f>'A.2 Beneficios'!B10</f>
        <v>460000</v>
      </c>
      <c r="C14" s="9">
        <f>'A.1 Costos'!C9</f>
        <v>7590000</v>
      </c>
      <c r="D14" s="9">
        <f>B14-C14</f>
        <v>-7130000</v>
      </c>
      <c r="E14" s="9">
        <f>E13+D14</f>
        <v>-73278000</v>
      </c>
    </row>
    <row r="15" spans="1:5">
      <c r="A15" s="6" t="s">
        <v>57</v>
      </c>
      <c r="B15" s="7">
        <f>'A.2 Beneficios'!B10</f>
        <v>460000</v>
      </c>
      <c r="C15" s="7">
        <f>'A.1 Costos'!C9</f>
        <v>7590000</v>
      </c>
      <c r="D15" s="7">
        <f>B15-C15</f>
        <v>-7130000</v>
      </c>
      <c r="E15" s="7">
        <f>E14+D15</f>
        <v>-80408000</v>
      </c>
    </row>
    <row r="16" spans="1:5">
      <c r="A16" s="8" t="s">
        <v>58</v>
      </c>
      <c r="B16" s="9">
        <f>'A.2 Beneficios'!B10</f>
        <v>460000</v>
      </c>
      <c r="C16" s="9">
        <f>'A.1 Costos'!C9</f>
        <v>7590000</v>
      </c>
      <c r="D16" s="9">
        <f>B16-C16</f>
        <v>-7130000</v>
      </c>
      <c r="E16" s="9">
        <f>E15+D16</f>
        <v>-87538000</v>
      </c>
    </row>
    <row r="17" spans="1:5">
      <c r="A17" s="6" t="s">
        <v>59</v>
      </c>
      <c r="B17" s="7">
        <f>'A.2 Beneficios'!B10</f>
        <v>460000</v>
      </c>
      <c r="C17" s="7">
        <f>'A.1 Costos'!C9</f>
        <v>7590000</v>
      </c>
      <c r="D17" s="7">
        <f>B17-C17</f>
        <v>-7130000</v>
      </c>
      <c r="E17" s="7">
        <f>E16+D17</f>
        <v>-94668000</v>
      </c>
    </row>
    <row r="18" spans="1:5">
      <c r="A18" s="12" t="s">
        <v>60</v>
      </c>
      <c r="B18" s="13">
        <f>SUM(B5:B17)</f>
        <v>5520000</v>
      </c>
      <c r="C18" s="13">
        <f>SUM(C5:C17)</f>
        <v>100188000</v>
      </c>
      <c r="D18" s="13">
        <f>SUM(D5:D17)</f>
        <v>-94668000</v>
      </c>
      <c r="E18" s="13"/>
    </row>
    <row r="20" spans="1:5" ht="39.75" customHeight="1">
      <c r="A20" s="2" t="s">
        <v>61</v>
      </c>
      <c r="B20" s="2"/>
      <c r="C20" s="2"/>
      <c r="D20" s="2"/>
      <c r="E20" s="2"/>
    </row>
    <row r="22" spans="1:5">
      <c r="A22" s="14" t="s">
        <v>22</v>
      </c>
    </row>
  </sheetData>
  <mergeCells count="3">
    <mergeCell ref="A1:E1"/>
    <mergeCell ref="A2:E2"/>
    <mergeCell ref="A20:E2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zoomScaleNormal="100" workbookViewId="0"/>
  </sheetViews>
  <sheetFormatPr defaultColWidth="8.7109375" defaultRowHeight="15"/>
  <cols>
    <col min="1" max="1" width="28" customWidth="1"/>
    <col min="2" max="2" width="18" customWidth="1"/>
    <col min="3" max="3" width="65" customWidth="1"/>
  </cols>
  <sheetData>
    <row r="1" spans="1:3" ht="27.75" customHeight="1">
      <c r="A1" s="4" t="s">
        <v>62</v>
      </c>
      <c r="B1" s="4"/>
      <c r="C1" s="4"/>
    </row>
    <row r="2" spans="1:3">
      <c r="A2" s="3" t="s">
        <v>63</v>
      </c>
      <c r="B2" s="3"/>
      <c r="C2" s="3"/>
    </row>
    <row r="4" spans="1:3" ht="30" customHeight="1">
      <c r="A4" s="5" t="s">
        <v>64</v>
      </c>
      <c r="B4" s="5" t="s">
        <v>65</v>
      </c>
      <c r="C4" s="5" t="s">
        <v>66</v>
      </c>
    </row>
    <row r="5" spans="1:3" ht="27.75" customHeight="1">
      <c r="A5" s="15" t="s">
        <v>67</v>
      </c>
      <c r="B5" s="16">
        <f>'A.1 Costos'!D12</f>
        <v>100188000</v>
      </c>
      <c r="C5" s="17" t="s">
        <v>68</v>
      </c>
    </row>
    <row r="6" spans="1:3" ht="27.75" customHeight="1">
      <c r="A6" s="18" t="s">
        <v>26</v>
      </c>
      <c r="B6" s="19">
        <f>'A.2 Beneficios'!B10</f>
        <v>460000</v>
      </c>
      <c r="C6" s="20" t="s">
        <v>69</v>
      </c>
    </row>
    <row r="7" spans="1:3" ht="27.75" customHeight="1">
      <c r="A7" s="15" t="s">
        <v>27</v>
      </c>
      <c r="B7" s="16">
        <f>'A.2 Beneficios'!C10</f>
        <v>5520000</v>
      </c>
      <c r="C7" s="17" t="s">
        <v>70</v>
      </c>
    </row>
    <row r="8" spans="1:3" ht="27.75" customHeight="1">
      <c r="A8" s="18" t="s">
        <v>71</v>
      </c>
      <c r="B8" s="19">
        <f>B7-B5</f>
        <v>-94668000</v>
      </c>
      <c r="C8" s="20" t="s">
        <v>72</v>
      </c>
    </row>
    <row r="9" spans="1:3" ht="27.75" customHeight="1">
      <c r="A9" s="15" t="s">
        <v>73</v>
      </c>
      <c r="B9" s="21">
        <v>-5.5E-2</v>
      </c>
      <c r="C9" s="17" t="s">
        <v>74</v>
      </c>
    </row>
    <row r="10" spans="1:3" ht="27.75" customHeight="1">
      <c r="A10" s="18" t="s">
        <v>75</v>
      </c>
      <c r="B10" s="22" t="s">
        <v>76</v>
      </c>
      <c r="C10" s="20" t="s">
        <v>77</v>
      </c>
    </row>
    <row r="11" spans="1:3" ht="27.75" customHeight="1">
      <c r="A11" s="15" t="s">
        <v>78</v>
      </c>
      <c r="B11" s="23" t="s">
        <v>79</v>
      </c>
      <c r="C11" s="17" t="s">
        <v>80</v>
      </c>
    </row>
    <row r="12" spans="1:3" ht="27.75" customHeight="1">
      <c r="A12" s="18" t="s">
        <v>81</v>
      </c>
      <c r="B12" s="22" t="s">
        <v>82</v>
      </c>
      <c r="C12" s="20" t="s">
        <v>83</v>
      </c>
    </row>
    <row r="14" spans="1:3">
      <c r="A14" s="14" t="s">
        <v>22</v>
      </c>
    </row>
    <row r="16" spans="1:3">
      <c r="A16" s="24" t="s">
        <v>84</v>
      </c>
      <c r="B16" s="24"/>
      <c r="C16" s="24"/>
    </row>
    <row r="17" spans="1:3" ht="49.5" customHeight="1">
      <c r="A17" s="1" t="s">
        <v>85</v>
      </c>
      <c r="B17" s="1"/>
      <c r="C17" s="1"/>
    </row>
    <row r="18" spans="1:3" ht="49.5" customHeight="1">
      <c r="A18" s="1" t="s">
        <v>86</v>
      </c>
      <c r="B18" s="1"/>
      <c r="C18" s="1"/>
    </row>
    <row r="19" spans="1:3" ht="49.5" customHeight="1">
      <c r="A19" s="1" t="s">
        <v>87</v>
      </c>
      <c r="B19" s="1"/>
      <c r="C19" s="1"/>
    </row>
    <row r="20" spans="1:3" ht="49.5" customHeight="1">
      <c r="A20" s="1" t="s">
        <v>88</v>
      </c>
      <c r="B20" s="1"/>
      <c r="C20" s="1"/>
    </row>
  </sheetData>
  <mergeCells count="7">
    <mergeCell ref="A19:C19"/>
    <mergeCell ref="A20:C20"/>
    <mergeCell ref="A1:C1"/>
    <mergeCell ref="A2:C2"/>
    <mergeCell ref="A16:C16"/>
    <mergeCell ref="A17:C17"/>
    <mergeCell ref="A18:C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SALAS ORTIZ FELIPE P</cp:lastModifiedBy>
  <cp:revision>0</cp:revision>
  <dcterms:created xsi:type="dcterms:W3CDTF">2026-06-16T00:49:21Z</dcterms:created>
  <dcterms:modified xsi:type="dcterms:W3CDTF">2026-09-08T22:31:57Z</dcterms:modified>
  <cp:category/>
  <cp:contentStatus/>
</cp:coreProperties>
</file>