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134" documentId="11_9204E139EBD3612B8A0ACAD8A383AC6724001BCF" xr6:coauthVersionLast="47" xr6:coauthVersionMax="47" xr10:uidLastSave="{F3F7C066-958C-42A7-922E-C86E38B71CA3}"/>
  <bookViews>
    <workbookView xWindow="0" yWindow="0" windowWidth="16384" windowHeight="8192" tabRatio="500" firstSheet="3" activeTab="3" xr2:uid="{00000000-000D-0000-FFFF-FFFF00000000}"/>
  </bookViews>
  <sheets>
    <sheet name="Sprint Backlog" sheetId="1" r:id="rId1"/>
    <sheet name="URs Prioridad 3 (Referencia)" sheetId="2" r:id="rId2"/>
    <sheet name="Trazabilidad Incremento 3" sheetId="3" r:id="rId3"/>
    <sheet name="Burn Down - Burn Up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4" l="1"/>
  <c r="H30" i="4"/>
  <c r="B29" i="4"/>
  <c r="H29" i="4" s="1"/>
  <c r="B28" i="4"/>
  <c r="H28" i="4" s="1"/>
  <c r="B27" i="4"/>
  <c r="H27" i="4" s="1"/>
  <c r="B26" i="4"/>
  <c r="H26" i="4" s="1"/>
  <c r="B25" i="4"/>
  <c r="H25" i="4" s="1"/>
  <c r="B24" i="4"/>
  <c r="H24" i="4" s="1"/>
  <c r="B23" i="4"/>
  <c r="H23" i="4" s="1"/>
  <c r="B22" i="4"/>
  <c r="H22" i="4" s="1"/>
  <c r="B21" i="4"/>
  <c r="H21" i="4" s="1"/>
  <c r="B20" i="4"/>
  <c r="H20" i="4" s="1"/>
  <c r="B19" i="4"/>
  <c r="H19" i="4" s="1"/>
  <c r="B18" i="4"/>
  <c r="H18" i="4" s="1"/>
  <c r="B17" i="4"/>
  <c r="H17" i="4" s="1"/>
  <c r="B16" i="4"/>
  <c r="H16" i="4" s="1"/>
  <c r="B15" i="4"/>
  <c r="H15" i="4" s="1"/>
  <c r="B14" i="4"/>
  <c r="H14" i="4" s="1"/>
  <c r="B13" i="4"/>
  <c r="H13" i="4" s="1"/>
  <c r="B12" i="4"/>
  <c r="H12" i="4" s="1"/>
  <c r="B11" i="4"/>
  <c r="H11" i="4" s="1"/>
  <c r="B10" i="4"/>
  <c r="H10" i="4" s="1"/>
  <c r="B7" i="4"/>
  <c r="B6" i="4"/>
  <c r="B5" i="4"/>
  <c r="E70" i="1"/>
  <c r="D70" i="1"/>
  <c r="C70" i="1"/>
  <c r="B70" i="1"/>
  <c r="F70" i="1" s="1"/>
  <c r="E69" i="1"/>
  <c r="D69" i="1"/>
  <c r="C69" i="1"/>
  <c r="B69" i="1"/>
  <c r="F69" i="1" s="1"/>
  <c r="E68" i="1"/>
  <c r="D68" i="1"/>
  <c r="C68" i="1"/>
  <c r="B68" i="1"/>
  <c r="F68" i="1" s="1"/>
  <c r="E67" i="1"/>
  <c r="D67" i="1"/>
  <c r="C67" i="1"/>
  <c r="B67" i="1"/>
  <c r="F67" i="1" s="1"/>
  <c r="E66" i="1"/>
  <c r="D66" i="1"/>
  <c r="C66" i="1"/>
  <c r="B66" i="1"/>
  <c r="F66" i="1" s="1"/>
  <c r="E65" i="1"/>
  <c r="D65" i="1"/>
  <c r="C65" i="1"/>
  <c r="B65" i="1"/>
  <c r="F65" i="1" s="1"/>
  <c r="E64" i="1"/>
  <c r="E71" i="1" s="1"/>
  <c r="D64" i="1"/>
  <c r="D71" i="1" s="1"/>
  <c r="C64" i="1"/>
  <c r="C71" i="1" s="1"/>
  <c r="B64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C60" i="1" s="1"/>
  <c r="B53" i="1"/>
  <c r="B60" i="1" s="1"/>
  <c r="B71" i="1" l="1"/>
  <c r="F64" i="1"/>
  <c r="F71" i="1" s="1"/>
  <c r="E30" i="4"/>
  <c r="D30" i="4"/>
  <c r="G30" i="4" s="1"/>
  <c r="C30" i="4"/>
  <c r="F30" i="4" s="1"/>
  <c r="E29" i="4"/>
  <c r="D29" i="4"/>
  <c r="G29" i="4" s="1"/>
  <c r="C29" i="4"/>
  <c r="F29" i="4" s="1"/>
  <c r="E28" i="4"/>
  <c r="D28" i="4"/>
  <c r="G28" i="4" s="1"/>
  <c r="C28" i="4"/>
  <c r="F28" i="4" s="1"/>
  <c r="E27" i="4"/>
  <c r="D27" i="4"/>
  <c r="G27" i="4" s="1"/>
  <c r="C27" i="4"/>
  <c r="F27" i="4" s="1"/>
  <c r="E26" i="4"/>
  <c r="D26" i="4"/>
  <c r="G26" i="4" s="1"/>
  <c r="C26" i="4"/>
  <c r="F26" i="4" s="1"/>
  <c r="E25" i="4"/>
  <c r="D25" i="4"/>
  <c r="G25" i="4" s="1"/>
  <c r="C25" i="4"/>
  <c r="F25" i="4" s="1"/>
  <c r="E24" i="4"/>
  <c r="D24" i="4"/>
  <c r="G24" i="4" s="1"/>
  <c r="C24" i="4"/>
  <c r="F24" i="4" s="1"/>
  <c r="E23" i="4"/>
  <c r="D23" i="4"/>
  <c r="G23" i="4" s="1"/>
  <c r="C23" i="4"/>
  <c r="F23" i="4" s="1"/>
  <c r="E22" i="4"/>
  <c r="D22" i="4"/>
  <c r="G22" i="4" s="1"/>
  <c r="C22" i="4"/>
  <c r="F22" i="4" s="1"/>
  <c r="E21" i="4"/>
  <c r="D21" i="4"/>
  <c r="G21" i="4" s="1"/>
  <c r="C21" i="4"/>
  <c r="F21" i="4" s="1"/>
  <c r="E20" i="4"/>
  <c r="D20" i="4"/>
  <c r="G20" i="4" s="1"/>
  <c r="C20" i="4"/>
  <c r="F20" i="4" s="1"/>
  <c r="E19" i="4"/>
  <c r="D19" i="4"/>
  <c r="G19" i="4" s="1"/>
  <c r="C19" i="4"/>
  <c r="F19" i="4" s="1"/>
  <c r="E18" i="4"/>
  <c r="D18" i="4"/>
  <c r="G18" i="4" s="1"/>
  <c r="C18" i="4"/>
  <c r="F18" i="4" s="1"/>
  <c r="E17" i="4"/>
  <c r="D17" i="4"/>
  <c r="G17" i="4" s="1"/>
  <c r="C17" i="4"/>
  <c r="F17" i="4" s="1"/>
  <c r="E16" i="4"/>
  <c r="D16" i="4"/>
  <c r="G16" i="4" s="1"/>
  <c r="C16" i="4"/>
  <c r="F16" i="4" s="1"/>
  <c r="E15" i="4"/>
  <c r="D15" i="4"/>
  <c r="G15" i="4" s="1"/>
  <c r="C15" i="4"/>
  <c r="F15" i="4" s="1"/>
  <c r="E14" i="4"/>
  <c r="D14" i="4"/>
  <c r="G14" i="4" s="1"/>
  <c r="C14" i="4"/>
  <c r="F14" i="4" s="1"/>
  <c r="E13" i="4"/>
  <c r="D13" i="4"/>
  <c r="G13" i="4" s="1"/>
  <c r="C13" i="4"/>
  <c r="F13" i="4" s="1"/>
  <c r="E12" i="4"/>
  <c r="D12" i="4"/>
  <c r="G12" i="4" s="1"/>
  <c r="C12" i="4"/>
  <c r="F12" i="4" s="1"/>
  <c r="E11" i="4"/>
  <c r="D11" i="4"/>
  <c r="G11" i="4" s="1"/>
  <c r="C11" i="4"/>
  <c r="F11" i="4" s="1"/>
  <c r="E10" i="4"/>
  <c r="D10" i="4"/>
  <c r="G10" i="4" s="1"/>
  <c r="C10" i="4"/>
  <c r="F10" i="4" s="1"/>
</calcChain>
</file>

<file path=xl/sharedStrings.xml><?xml version="1.0" encoding="utf-8"?>
<sst xmlns="http://schemas.openxmlformats.org/spreadsheetml/2006/main" count="585" uniqueCount="344">
  <si>
    <t>PILA DEL PRODUCTO — SPRINT BACKLOG — INCREMENTO 3  |  Grupo 20 — Minimarket Antucayen</t>
  </si>
  <si>
    <t>OBJETIVO: Implementar módulos de Exportación/Auditoría de archivos, Reversión de ajustes, Historial/Consulta de stock y Reportes exportables a Excel → 10 URs prioridad 3</t>
  </si>
  <si>
    <t>Entrega: 11/10/2026 23:59</t>
  </si>
  <si>
    <t>Prioridad</t>
  </si>
  <si>
    <t>Categoría</t>
  </si>
  <si>
    <t>ID</t>
  </si>
  <si>
    <t>Descripción detallada</t>
  </si>
  <si>
    <t>Responsable</t>
  </si>
  <si>
    <t>HH Est.</t>
  </si>
  <si>
    <t>Estado</t>
  </si>
  <si>
    <t>Criterio de aceptación</t>
  </si>
  <si>
    <t>URs relacionadas</t>
  </si>
  <si>
    <t>Notas / Dependencias</t>
  </si>
  <si>
    <t>Herramientas</t>
  </si>
  <si>
    <t>Fecha límite</t>
  </si>
  <si>
    <t>Fecha inicio</t>
  </si>
  <si>
    <t>Fecha término</t>
  </si>
  <si>
    <t>HH Efectivas</t>
  </si>
  <si>
    <t>Semana</t>
  </si>
  <si>
    <t>Retroalimentación Inc. 2</t>
  </si>
  <si>
    <t>1.1</t>
  </si>
  <si>
    <t>Revisar la retroalimentación y observaciones recibidas sobre el Incremento 2 (comentarios del profesor y/o pauta de corrección) y contrastarlas con el Sprint Retrospective del Incremento 2, elaborando un listado priorizado de acciones correctivas para el Incremento 3.</t>
  </si>
  <si>
    <t>Cristobal Osorio</t>
  </si>
  <si>
    <t>Listo</t>
  </si>
  <si>
    <t>Listado de acciones correctivas con al menos 3 puntos, cada uno con responsable tentativo; referencia explícita a la retroalimentación del profesor o, en su defecto, a la Retrospectiva del Incremento 2.</t>
  </si>
  <si>
    <t>—</t>
  </si>
  <si>
    <t>Si la retroalimentación formal del profesor aún no llega, usar como base el Sprint Retrospective del Incremento 2 (documento Incremento 2, sección Scrum++).</t>
  </si>
  <si>
    <t>Word</t>
  </si>
  <si>
    <t>1.2</t>
  </si>
  <si>
    <t>Incorporar las acciones correctivas identificadas en 1.1 a la planificación del Incremento 3 (Product Backlog y este Sprint Backlog) y dejar registro explícito de qué cambió respecto al Incremento 2.</t>
  </si>
  <si>
    <t>Cada acción correctiva queda vinculada a una tarea o nota del Sprint Backlog del Incremento 3; el documento Word incluye un párrafo "Cambios respecto al Incremento 2".</t>
  </si>
  <si>
    <t>Depende de 1.1.</t>
  </si>
  <si>
    <t>Word / Excel</t>
  </si>
  <si>
    <t>Modelo</t>
  </si>
  <si>
    <t>2.1</t>
  </si>
  <si>
    <t>Implementar ServicioExportacion (nuevo): exportarItemsValidos(lista, formato) genera un archivo con las columnas SKU y cantidad a partir de la lista de ítems válidos de una importación o ajuste, en formato Excel (Apache POI) y CSV.</t>
  </si>
  <si>
    <t>Felipe Salas</t>
  </si>
  <si>
    <t>Exportación a Excel y a CSV generan archivos válidos y abribles; columnas SKU y cantidad correctas; nombre de archivo incluye fecha/hora.</t>
  </si>
  <si>
    <t>UR-25</t>
  </si>
  <si>
    <t>Depende de ServicioImportacion y ServicioAjusteInventario (Incremento 1 y 2). Requiere Apache POI (ya incluido en pom.xml).</t>
  </si>
  <si>
    <t>IntelliJ IDEA</t>
  </si>
  <si>
    <t>2.2</t>
  </si>
  <si>
    <t>Implementar ServicioAuditoria (nuevo) y tabla auditoria_archivo (fecha, hora, usuario, nombre de archivo, tipo de operación): registrarEvento(tipoOperacion, usuario, nombreArchivo). Crear AuditoriaDAO e integrar la llamada en ServicioImportacion y ServicioExportacion.</t>
  </si>
  <si>
    <t>Nicolas Lopez</t>
  </si>
  <si>
    <t>Cada importación y exportación genera un registro de auditoría persistido; una consulta directa a la tabla confirma fecha/hora/usuario/archivo correctos.</t>
  </si>
  <si>
    <t>UR-37</t>
  </si>
  <si>
    <t>Requiere script SQL para la tabla auditoria_archivo (agregar a los scripts del proyecto). Depende de 2.1 para integrarse con la exportación.</t>
  </si>
  <si>
    <t>IntelliJ IDEA / MySQL Workbench</t>
  </si>
  <si>
    <t>2.3</t>
  </si>
  <si>
    <t>Extender ServicioAjusteInventario: revertirAjuste(idMovimiento) — valida que el usuario tenga rol Administrador, recupera el stock anterior desde MovimientoDAO, restaura el stock del producto y registra un nuevo movimiento tipo "Reversión" referenciando el ajuste revertido.</t>
  </si>
  <si>
    <t>Fabian Gomez</t>
  </si>
  <si>
    <t>Reversión exitosa deja el stock igual al valor previo al ajuste; usuario sin rol Administrador recibe AccesoNoAutorizadoException; queda un nuevo movimiento tipo Reversión en el historial.</t>
  </si>
  <si>
    <t>UR-46</t>
  </si>
  <si>
    <t>Depende de ServicioAjusteInventario y MovimientoDAO (Incremento 1) y de ServicioUsuario para validar el rol (Incremento 1).</t>
  </si>
  <si>
    <t>2.4</t>
  </si>
  <si>
    <t>Extender ServicioHistorial: asegurar que consultarMovimientos() retorne tipo, fecha, hora, usuario, SKU, stock anterior y stock resultante en todos los movimientos; agregar obtenerUltimosMovimientos(sku, 10) ordenado por fecha descendente.</t>
  </si>
  <si>
    <t>La consulta general retorna los 6 campos requeridos sin nulos; obtenerUltimosMovimientos retorna máximo 10 filas y nunca más que los movimientos reales existentes.</t>
  </si>
  <si>
    <t>UR-47,UR-56</t>
  </si>
  <si>
    <t>Depende de ServicioHistorial y MovimientoDAO (Incremento 1). Revisar consistencia con lo ya implementado como UR-47 en el Incremento 1.</t>
  </si>
  <si>
    <t>2.5</t>
  </si>
  <si>
    <t>Implementar ServicioReportes (nuevo): reporteStock() (productos activos con stock actual), reporteEquivalenciasFaltantes() (códigos de proveedor sin SKU asociado), reporteFacturas(estado, fechaInicio, fechaFin), reporteMovimientos(fechaInicio, fechaFin).</t>
  </si>
  <si>
    <t>Matias Ale</t>
  </si>
  <si>
    <t>Los 4 métodos retornan listas correctas contra datos de prueba conocidos; los filtros de facturas y movimientos combinan estado/rango de fechas correctamente; el reporte de equivalencias solo incluye códigos sin SKU asociado.</t>
  </si>
  <si>
    <t>UR-57,UR-58,UR-59,UR-60</t>
  </si>
  <si>
    <t>Depende de ServicioProducto, ServicioEquivalencia (Incremento 2), ServicioFactura (Incremento 2) y ServicioHistorial.</t>
  </si>
  <si>
    <t>2.6</t>
  </si>
  <si>
    <t>Integrar ServicioExportacion (2.1) con ServicioReportes (2.5): exportarReporteExcel(tipoReporte, datos) para los 4 reportes de RF-57 a RF-60, reutilizando el motor Apache POI y registrando auditoría de cada exportación mediante ServicioAuditoria (2.2).</t>
  </si>
  <si>
    <t>Cada uno de los 4 reportes se exporta a un archivo Excel legible con encabezados correctos; cada exportación genera su registro de auditoría.</t>
  </si>
  <si>
    <t>UR-61</t>
  </si>
  <si>
    <t>Depende de 2.1, 2.2 y 2.5.</t>
  </si>
  <si>
    <t>Vista</t>
  </si>
  <si>
    <t>3.1</t>
  </si>
  <si>
    <t>Extender la vista de ajuste/importación de inventario (VAjusteInventario): agregar botón "Exportar ítems válidos" tras la previsualización, con JFileChooser para elegir formato (Excel/CSV) y carpeta destino.</t>
  </si>
  <si>
    <t>Botón visible tras previsualizar un archivo válido; selector de formato funcional; confirmación visual al finalizar la exportación.</t>
  </si>
  <si>
    <t>Depende de VAjusteInventario (Incremento 1) y de 2.1.</t>
  </si>
  <si>
    <t>IntelliJ IDEA + WindowBuilder</t>
  </si>
  <si>
    <t>3.2</t>
  </si>
  <si>
    <t>Crear VRevertirAjuste (JDialog) o extender VHistorialMovimientos: botón "Revertir" visible solo para Administrador junto a movimientos de tipo ajuste, con diálogo de confirmación mostrando el detalle del movimiento a revertir.</t>
  </si>
  <si>
    <t>Diego Lobos</t>
  </si>
  <si>
    <t>Botón oculto/deshabilitado para roles distintos de Administrador; la confirmación muestra SKU, cantidad y fecha del ajuste antes de revertir; mensaje de éxito o error visible.</t>
  </si>
  <si>
    <t>Depende de VHistorialMovimientos (Incremento 1) y de 2.3.</t>
  </si>
  <si>
    <t>3.3</t>
  </si>
  <si>
    <t>Crear VConsultaStockHistorial (JPanel): buscador de producto por SKU o nombre, panel con stock actual y JTable con los últimos 10 movimientos (tipo, fecha, hora, usuario, stock anterior, stock resultante).</t>
  </si>
  <si>
    <t>La búsqueda por SKU o nombre muestra el producto correcto; la JTable muestra máximo 10 filas ordenadas por fecha descendente; el stock actual coincide con ServicioProducto.</t>
  </si>
  <si>
    <t>Depende de VPrincipal y de 2.4.</t>
  </si>
  <si>
    <t>3.4</t>
  </si>
  <si>
    <t>Crear VReportes (JPanel con JComboBox de tipo de reporte): filtros según el reporte seleccionado (rango de fechas para movimientos y facturas, estado para facturas), JTable de resultados y botón "Exportar a Excel" por reporte.</t>
  </si>
  <si>
    <t>El selector cambia los filtros disponibles según el reporte; la JTable se puebla correctamente para los 4 reportes; el botón exportar se habilita solo con resultados en pantalla.</t>
  </si>
  <si>
    <t>UR-57,UR-58,UR-59,UR-60,UR-61</t>
  </si>
  <si>
    <t>Depende de VPrincipal y de 2.5, 2.6.</t>
  </si>
  <si>
    <t>Controlador</t>
  </si>
  <si>
    <t>4.1</t>
  </si>
  <si>
    <t>Implementar ControladorExportacion: listener del botón "Exportar ítems válidos", invoca ServicioExportacion, gestiona la selección de carpeta destino y formato, y muestra confirmación o error en pantalla.</t>
  </si>
  <si>
    <t>Exportación exitosa muestra la ruta del archivo generado; un error de escritura (permisos, disco) muestra un mensaje claro sin cerrar la ventana.</t>
  </si>
  <si>
    <t>Depende de 2.1 y 3.1.</t>
  </si>
  <si>
    <t>4.2</t>
  </si>
  <si>
    <t>Extender ControladorAjusteInventario (o crear ControladorRevertirAjuste): listener de "Revertir", valida el rol Administrador antes de invocar, llama a ServicioAjusteInventario.revertirAjuste() y refresca stock e historial en pantalla.</t>
  </si>
  <si>
    <t>La reversión exitosa refresca de inmediato el stock mostrado y agrega la fila del nuevo movimiento; un intento sin permisos no llega a invocar el servicio.</t>
  </si>
  <si>
    <t>Depende de 2.3 y 3.2.</t>
  </si>
  <si>
    <t>4.3</t>
  </si>
  <si>
    <t>Implementar ControladorStockHistorial: conecta VConsultaStockHistorial con ServicioProducto y ServicioHistorial, refrescando la tabla de movimientos al buscar un SKU o nombre.</t>
  </si>
  <si>
    <t>La búsqueda actualiza stock y tabla de movimientos en menos de 2 segundos; una búsqueda sin resultados muestra un mensaje claro en vez de una tabla vacía sin explicación.</t>
  </si>
  <si>
    <t>Depende de 2.4 y 3.3.</t>
  </si>
  <si>
    <t>4.4</t>
  </si>
  <si>
    <t>Implementar ControladorReportes: construye cada reporte según los filtros seleccionados en VReportes, puebla la JTable de resultados y gestiona el botón "Exportar a Excel" invocando ServicioReportes y ServicioExportacion.</t>
  </si>
  <si>
    <t>Los 4 reportes se generan correctamente con y sin filtros aplicados; exportar sin resultados en pantalla está deshabilitado; la exportación exitosa confirma la ruta del archivo.</t>
  </si>
  <si>
    <t>Depende de 2.5, 2.6 y 3.4.</t>
  </si>
  <si>
    <t>Diagramas 4+1</t>
  </si>
  <si>
    <t>5.1</t>
  </si>
  <si>
    <t>Vista Lógica: actualizar el diagrama de clases UML incorporando ServicioExportacion, ServicioAuditoria, ServicioReportes y las extensiones a ServicioAjusteInventario y ServicioHistorial, junto a sus controladores y vistas del Incremento 3. PNG + explicación.</t>
  </si>
  <si>
    <t>Diagrama PNG con fondo blanco; coherente con el código del Incremento 3; texto explicativo antes de la figura.</t>
  </si>
  <si>
    <t>Depende de que el código del Incremento 3 esté avanzado (Modelo, Vista, Controlador).</t>
  </si>
  <si>
    <t>draw.io / StarUML</t>
  </si>
  <si>
    <t>5.2</t>
  </si>
  <si>
    <t>Vista de Procesos — Secuencia: Exportando ítems válidos y registrando auditoría (Módulo A). Actores, objetos Vista/Controlador/Modelo/BD, mensajes con nombres de métodos reales. PNG + explicación.</t>
  </si>
  <si>
    <t>Diagrama de secuencia UML correcto; nombres de métodos coinciden con el código; texto explicativo.</t>
  </si>
  <si>
    <t>UR-25,UR-37</t>
  </si>
  <si>
    <t>Depende de 4.1.</t>
  </si>
  <si>
    <t>5.3</t>
  </si>
  <si>
    <t>Vista de Procesos — Secuencia: Revirtiendo ajuste de inventario (Módulo B). PNG + explicación.</t>
  </si>
  <si>
    <t>Diagrama de secuencia UML correcto; texto explicativo.</t>
  </si>
  <si>
    <t>Depende de 4.2.</t>
  </si>
  <si>
    <t>5.4</t>
  </si>
  <si>
    <t>Vista de Procesos — Secuencia: Consultando stock e historial de movimientos (Módulo C). PNG + explicación.</t>
  </si>
  <si>
    <t>Depende de 4.3.</t>
  </si>
  <si>
    <t>5.5</t>
  </si>
  <si>
    <t>Vista de Procesos — Secuencia: Generando y exportando reporte (Módulo D; flujo común a los 4 reportes con el tipo de reporte como parámetro). PNG + explicación.</t>
  </si>
  <si>
    <t>Diagrama de secuencia UML correcto; texto explicativo; se indica explícitamente que el flujo aplica a los 4 tipos de reporte.</t>
  </si>
  <si>
    <t>Depende de 4.4.</t>
  </si>
  <si>
    <t>5.6</t>
  </si>
  <si>
    <t>Actualizar el árbol de navegación del sistema, redactar la explicación textual de cada vista 4+1 nueva del Incremento 3 en el documento Word, y dejar constancia de que la Vista de Desarrollo y la Vista Física no requieren cambios estructurales en este incremento.</t>
  </si>
  <si>
    <t>Árbol de navegación actualizado incluye las pantallas nuevas; cada vista 4+1 nueva tiene texto introductorio + figura + fuente; párrafo explícito confirmando la vigencia de la Vista de Desarrollo y la Vista Física del Incremento 1.</t>
  </si>
  <si>
    <t>Última tarea de esta categoría, depende de 5.1 a 5.5.</t>
  </si>
  <si>
    <t>draw.io / Word</t>
  </si>
  <si>
    <t>Scrum++</t>
  </si>
  <si>
    <t>6.1</t>
  </si>
  <si>
    <t>Actualizar el Product Backlog List en Excel marcando los 10 URs de prioridad 3 (RF-25, RF-37, RF-46, RF-47, RF-56 a RF-61) como parte del Incremento 3.</t>
  </si>
  <si>
    <t>Excel actualizado; los 10 URs quedan marcados con su incremento correspondiente; consistente con el Product Backlog de Incrementos 1 y 2.</t>
  </si>
  <si>
    <t>UR-25,UR-37,UR-46,UR-47,UR-56,UR-57,UR-58,UR-59,UR-60,UR-61</t>
  </si>
  <si>
    <t>Usar el Product Backlog del Incremento 2 como base.</t>
  </si>
  <si>
    <t>Excel</t>
  </si>
  <si>
    <t>6.2</t>
  </si>
  <si>
    <t>Elaborar el Sprint Backlog del Incremento 3 (este archivo) y la tabla de distribución semanal de HH (14/09 al 11/10), respetando el máximo de 2 HH/persona/día acordado por el equipo.</t>
  </si>
  <si>
    <t>Erick Hernandez</t>
  </si>
  <si>
    <t>Sprint Backlog con las 47 tareas de este documento; la tabla de distribución semanal cubre las 4 semanas del sprint con HH realistas por persona.</t>
  </si>
  <si>
    <t>Este mismo archivo Excel sirve de base.</t>
  </si>
  <si>
    <t>6.3</t>
  </si>
  <si>
    <t>Redactar las actas de Daily Scrum del sprint (una por cada día de trabajo efectivo entre el 15/09 y el 10/10): fecha, hora, lugar, asistentes, qué hice ayer, qué haré hoy, impedimentos.</t>
  </si>
  <si>
    <t>Actas con estructura completa; una fila por integrante en cada acta; tono formal.</t>
  </si>
  <si>
    <t>Pueden redactarse en conjunto durante el sprint.</t>
  </si>
  <si>
    <t>6.4</t>
  </si>
  <si>
    <t>Redactar el Sprint Review del Incremento 3: asistentes, objetivos alcanzados y no alcanzados, capturas de la demo, feedback del cliente, Product Backlog actualizado.</t>
  </si>
  <si>
    <t>Documento con todos los puntos; capturas del sistema funcionando; feedback documentado.</t>
  </si>
  <si>
    <t>Requiere el sistema del Incremento 3 funcional para la demo.</t>
  </si>
  <si>
    <t>6.5</t>
  </si>
  <si>
    <t>Redactar el Sprint Retrospective del Incremento 3: qué salió bien, qué mejorar, plan de acción para el Incremento 4. Participación de todo el equipo.</t>
  </si>
  <si>
    <t>Documento con las 3 secciones; tono constructivo; plan de mejora concreto.</t>
  </si>
  <si>
    <t>Después del Sprint Review (6.4).</t>
  </si>
  <si>
    <t>Pruebas</t>
  </si>
  <si>
    <t>7.1</t>
  </si>
  <si>
    <t>Diseñar y ejecutar casos de prueba del Módulo A (Exportando ítems válidos y Registrando auditoría de archivo): exportación Excel y CSV con datos correctos, verificación del registro de auditoría en cada importación/exportación, caso sin ítems válidos. Documentar evidencia con capturas.</t>
  </si>
  <si>
    <t>Mínimo 8 casos, incluye exportación vacía y error de formato; capturas de cada caso (exitoso y fallido); estado PASS/FAIL registrado.</t>
  </si>
  <si>
    <t>Requiere código funcional de 2.1, 2.2, 3.1, 4.1.</t>
  </si>
  <si>
    <t>Word / Excel / IntelliJ IDEA</t>
  </si>
  <si>
    <t>7.2</t>
  </si>
  <si>
    <t>Diseñar y ejecutar casos de prueba del Módulo B (Revirtiendo ajuste): reversión exitosa con restauración correcta de stock, bloqueo para usuarios sin rol Administrador, intento de revertir un ajuste ya revertido. Documentar evidencia con capturas.</t>
  </si>
  <si>
    <t>Mínimo 6 casos; incluye control de acceso por rol; capturas de cada caso; estado PASS/FAIL registrado.</t>
  </si>
  <si>
    <t>Requiere código funcional de 2.3, 3.2, 4.2.</t>
  </si>
  <si>
    <t>7.3</t>
  </si>
  <si>
    <t>Diseñar y ejecutar casos de prueba del Módulo C (Consultando stock e historial): producto con más de 10 movimientos, producto sin movimientos, filtros de historial combinados. Documentar evidencia con capturas.</t>
  </si>
  <si>
    <t>Mínimo 6 casos; confirma que nunca se muestran más de 10 movimientos; capturas de cada caso; estado PASS/FAIL registrado.</t>
  </si>
  <si>
    <t>Requiere código funcional de 2.4, 3.3, 4.3.</t>
  </si>
  <si>
    <t>7.4</t>
  </si>
  <si>
    <t>Diseñar y ejecutar casos de prueba del Módulo D (Reportes y exportación a Excel): generación de los 4 reportes, filtros de estado y rango de fechas, exportación a Excel de cada reporte, caso sin resultados. Documentar evidencia con capturas.</t>
  </si>
  <si>
    <t>Mínimo 12 casos (mínimo 3 por reporte); incluye la exportación de cada reporte; capturas de cada caso; estado PASS/FAIL registrado.</t>
  </si>
  <si>
    <t>Requiere código funcional de 2.5, 2.6, 3.4, 4.4.</t>
  </si>
  <si>
    <t>7.5</t>
  </si>
  <si>
    <t>Elaborar la tabla resumen de evidencias del Incremento 3 en el documento Word: por cada módulo (A, B, C, D), una tabla con ID de prueba, descripción, resultado y captura de pantalla.</t>
  </si>
  <si>
    <t>Tabla resumen por módulo; mínimo 3 evidencias por módulo; formato consistente con Incrementos 1 y 2.</t>
  </si>
  <si>
    <t>Depende de 7.1, 7.2, 7.3 y 7.4.</t>
  </si>
  <si>
    <t>Entregables</t>
  </si>
  <si>
    <t>8.1</t>
  </si>
  <si>
    <t>Redactar el documento Word del Incremento 3 completo: portada, índice de contenidos/figuras/tablas, introducción, propuesta de solución, resumen consolidado de los Incrementos 1 y 2, documentación Scrum++, vistas 4+1, evidencias de pruebas. Formato de rúbrica.</t>
  </si>
  <si>
    <t>Documento con todas las secciones, incluido el resumen acumulado de Incrementos 1 y 2 antes de presentar el Incremento 3; sin placeholders; formato Arial 12, márgenes 2.5cm, interlineado 1.5.</t>
  </si>
  <si>
    <t>Integración final de todos los entregables del Incremento 3. Depende de 9.4.</t>
  </si>
  <si>
    <t>8.2</t>
  </si>
  <si>
    <t>Insertar en el documento Word todos los diagramas 4+1, árbol de navegación y tablas de evidencias del Incremento 3. Verificar numeración Capítulo.Correlativo, texto que invoque cada figura y leyenda con fuente.</t>
  </si>
  <si>
    <t>Todas las figuras numeradas, referenciadas en el texto y con leyenda; sin figuras flotantes.</t>
  </si>
  <si>
    <t>Depende de que todos los diagramas (5.1 a 5.6) estén listos.</t>
  </si>
  <si>
    <t>8.3</t>
  </si>
  <si>
    <t>Formato final del documento del Incremento 3: márgenes 2.5cm, fuente Arial 12, interlineado 1.5, paginación, cada sección en hoja nueva, títulos en mayúscula negrita, texto justificado.</t>
  </si>
  <si>
    <t>Documento sin errores de formato; paginación correcta.</t>
  </si>
  <si>
    <t>Última tarea antes de entregar.</t>
  </si>
  <si>
    <t>8.4</t>
  </si>
  <si>
    <t>Grabar video de funcionalidades del Incremento 3 (máx. 5 min): recorrido por exportación de ítems válidos, reversión de ajuste, consulta de stock/historial y generación/exportación de reportes. Narrar cada acción.</t>
  </si>
  <si>
    <t>Video en Drive; duración ≤ 5 min; muestra los 4 módulos del incremento; narración clara.</t>
  </si>
  <si>
    <t>Cuando el sistema del Incremento 3 esté funcional.</t>
  </si>
  <si>
    <t>OBS / Loom</t>
  </si>
  <si>
    <t>8.5</t>
  </si>
  <si>
    <t>Crear presentación PPT del Incremento 3 (máx. 7 min): portada, índice, alcance con tabla de URs de prioridad 3, traza Scrum++, vistas 4+1 resumidas, enlace a la demo.</t>
  </si>
  <si>
    <t>PPT con portada correcta; ≤ 15 diapositivas; diapositiva de traza Scrum++ presente; enlace al video.</t>
  </si>
  <si>
    <t>Mismo formato que el PPT de Incrementos 1 y 2.</t>
  </si>
  <si>
    <t>PowerPoint</t>
  </si>
  <si>
    <t>8.6</t>
  </si>
  <si>
    <t>Empaquetar el código fuente actualizado del Incremento 3 en ZIP: archivos .java, pom.xml, config.properties, script SQL de la tabla auditoria_archivo, archivos draw.io. Verificar que compile desde cero.</t>
  </si>
  <si>
    <t>ZIP sin carpetas de IDE ni binarios; el proyecto compila desde cero con mvn package.</t>
  </si>
  <si>
    <t>Última tarea técnica antes de entregar.</t>
  </si>
  <si>
    <t>Terminal / Maven</t>
  </si>
  <si>
    <t>8.7</t>
  </si>
  <si>
    <t>Capturar el historial de commits de Git del Incremento 3: todos los integrantes con mínimo 3 commits descriptivos adicionales. Captura del log mostrando todos los autores.</t>
  </si>
  <si>
    <t>Captura con ≥ 3 commits adicionales por integrante; mensajes descriptivos.</t>
  </si>
  <si>
    <t>CRÍTICO: registrar el aporte individual de cada integrante.</t>
  </si>
  <si>
    <t>Git / GitHub</t>
  </si>
  <si>
    <t>8.8</t>
  </si>
  <si>
    <t>Actualizar el documento de instalación y grabar un nuevo video de instalación si cambió la configuración, dependencias o pasos de despliegue en el Incremento 3 (nueva tabla auditoria_archivo), o confirmar explícitamente que sigue vigente el de incrementos anteriores.</t>
  </si>
  <si>
    <t>Documento de instalación vigente o actualizado (incluye el script de la tabla auditoria_archivo si aplica); video en Drive ≤ 3 min si hubo cambios; nota indicando "sin cambios" si no aplica.</t>
  </si>
  <si>
    <t>La rúbrica exige video de instalación en cada entrega.</t>
  </si>
  <si>
    <t>Word / OBS / Loom</t>
  </si>
  <si>
    <t>8.9</t>
  </si>
  <si>
    <t>Grabar el video separado de la presentación y demo del día de exposición del Incremento 3 (distinto del video de funcionalidades), mostrando la presentación PPT y la demo en vivo del sistema.</t>
  </si>
  <si>
    <t>Video en Drive de la presentación + demo del día de exposición, subido de forma independiente al video de funcionalidades.</t>
  </si>
  <si>
    <t>La rúbrica exige un video separado por cada entrega, grabado el día de la presentación.</t>
  </si>
  <si>
    <t>Documentación</t>
  </si>
  <si>
    <t>9.1</t>
  </si>
  <si>
    <t>Redactar la sección Introducción del Incremento 3: contexto, objetivo del incremento, alcance (10 URs de prioridad 3), estructura del documento.</t>
  </si>
  <si>
    <t>Introducción de mínimo 3 párrafos; menciona objetivo, alcance y estructura.</t>
  </si>
  <si>
    <t>Puede hacerse desde el inicio del sprint.</t>
  </si>
  <si>
    <t>9.2</t>
  </si>
  <si>
    <t>Redactar la sección Propuesta de Solución e Incremento 3: describir el incremento, RFs/URs implementados (RF-25, RF-37, RF-46, RF-47, RF-56 a RF-61), porcentaje parcial (10/70 ≈ 14,3%) y porcentaje acumulado (59/70 ≈ 84,3%).</t>
  </si>
  <si>
    <t>Sección con tabla de RFs/URs, porcentaje parcial y acumulado correctamente calculados; mínimo 2 párrafos.</t>
  </si>
  <si>
    <t>Requerido por la rúbrica. Verificar el cálculo contra Incrementos 1 y 2 (24+25+10=59 de 70 URs).</t>
  </si>
  <si>
    <t>9.3</t>
  </si>
  <si>
    <t>Redactar la descripción textual extendida de los 10 casos de uso del Incremento 3 (uno por cada RF/UR: Exportando ítems válidos, Registrando auditoría de archivo, Revirtiendo ajuste, Consultando historial de movimientos, Consultando stock e historial, Generando reporte de stock, Reportando equivalencias faltantes, Generando reporte de facturas, Generando reporte de movimientos, Exportando reportes a Excel), agrupados en las 4 secciones de módulo (A-D): nombre en gerundio, actores, precondición, flujo normal, flujos alternativos, postcondición.</t>
  </si>
  <si>
    <t>10 casos de uso extendidos completos, uno por cada RF/UR, agrupados en las 4 secciones de módulo; formato tabla; todos los campos presentes; nombres en gerundio coinciden con el nombre de cada RF.</t>
  </si>
  <si>
    <t>Revisar los casos de uso de Incrementos 1 y 2 para mantener coherencia de formato.</t>
  </si>
  <si>
    <t>9.4</t>
  </si>
  <si>
    <t>Consolidar en el documento el resumen acumulado de los Incrementos 1 y 2 (CUs/URs entregados por incremento, porcentaje parcial y acumulado de cada uno) como sección previa a la propuesta del Incremento 3, verificando coherencia con los documentos anteriores.</t>
  </si>
  <si>
    <t>Tabla con los 3 incrementos (1, 2 y 3), URs por incremento y porcentaje acumulado consistente con los documentos de Incrementos 1 y 2; sin contradicciones de cifras entre documentos.</t>
  </si>
  <si>
    <t>Depende de 9.2. Es la tarea que asegura que el informe incorpore los incrementos anteriores.</t>
  </si>
  <si>
    <t>9.5</t>
  </si>
  <si>
    <t>Verificar checklist final antes de entregar: documento Incremento 3, Sprint Backlog, diagramas draw.io, video de funcionalidades, ZIP de código, Excel de organización, PPT, video de instalación (si aplica), video de presentación/demo. Todos los archivos en Drive con nombre correcto.</t>
  </si>
  <si>
    <t>Checklist completado; todos los archivos presentes y nombrados correctamente.</t>
  </si>
  <si>
    <t>24 a 48 horas antes de la entrega (11/10).</t>
  </si>
  <si>
    <t>Drive</t>
  </si>
  <si>
    <t>9.6</t>
  </si>
  <si>
    <t>Enviar correo al profesor con el enlace de Drive. Asunto exacto acordado por el equipo. Solo el jefe de proyecto envía. Verificar permisos de visualización del enlace.</t>
  </si>
  <si>
    <t>Correo enviado antes del 11/10 23:59; asunto correcto; enlace funcional.</t>
  </si>
  <si>
    <t>Deadline: domingo 11 de octubre 23:59.</t>
  </si>
  <si>
    <t>Gmail / Outlook</t>
  </si>
  <si>
    <t>RESUMEN DE CARGA POR INTEGRANTE</t>
  </si>
  <si>
    <t>Integrante</t>
  </si>
  <si>
    <t>N° de tareas</t>
  </si>
  <si>
    <t>HH estimadas totales</t>
  </si>
  <si>
    <t>TOTAL</t>
  </si>
  <si>
    <t>DISTRIBUCIÓN SEMANAL DE HH (referencia: máx. 2 HH/persona/día ≈ 14 HH/semana)</t>
  </si>
  <si>
    <t>Semana 1 (14-20 sep)</t>
  </si>
  <si>
    <t>Semana 2 (21-27 sep)</t>
  </si>
  <si>
    <t>Semana 3 (28 sep-4 oct)</t>
  </si>
  <si>
    <t>Semana 4 (5-11 oct)</t>
  </si>
  <si>
    <t>Total</t>
  </si>
  <si>
    <t>REQUERIMIENTOS (URs) DE PRIORIDAD 3 — INCREMENTO 3  |  Grupo 20 — Minimarket Antucayen</t>
  </si>
  <si>
    <t>ID UR</t>
  </si>
  <si>
    <t>Nombre</t>
  </si>
  <si>
    <t>Descripción</t>
  </si>
  <si>
    <t>Módulo relacionado (Sprint Backlog)</t>
  </si>
  <si>
    <t>Exportando lista de ítems válidos</t>
  </si>
  <si>
    <t>Generar una lista de ítems válidos con SKU y cantidad, exportable en Excel y CSV.</t>
  </si>
  <si>
    <t>Modelo 2.1 / Vista 3.1 / Controlador 4.1</t>
  </si>
  <si>
    <t>Registrando auditoría de archivo</t>
  </si>
  <si>
    <t>Registrar fecha, hora, usuario y nombre del archivo en cada importación/exportación.</t>
  </si>
  <si>
    <t>Modelo 2.2</t>
  </si>
  <si>
    <t>Revirtiendo ajuste</t>
  </si>
  <si>
    <t>Permitir revertir un ajuste confirmado y restaurar el stock anterior; exclusivo de Administrador.</t>
  </si>
  <si>
    <t>Modelo 2.3 / Vista 3.2 / Controlador 4.2</t>
  </si>
  <si>
    <t>UR-47</t>
  </si>
  <si>
    <t>Consultando historial de movimientos</t>
  </si>
  <si>
    <t>Mantener un historial consultable con tipo, fecha, hora, usuario, SKU, stock anterior y resultante.</t>
  </si>
  <si>
    <t>Modelo 2.4 / Vista 3.3 / Controlador 4.3</t>
  </si>
  <si>
    <t>UR-56</t>
  </si>
  <si>
    <t>Consultando stock e historial</t>
  </si>
  <si>
    <t>Mostrar stock actual junto con los últimos 10 movimientos del producto.</t>
  </si>
  <si>
    <t>UR-57</t>
  </si>
  <si>
    <t>Generando reporte de stock</t>
  </si>
  <si>
    <t>Generar reporte del stock actual de todos los productos activos, exportable a Excel.</t>
  </si>
  <si>
    <t>Modelo 2.5 / Vista 3.4 / Controlador 4.4</t>
  </si>
  <si>
    <t>UR-58</t>
  </si>
  <si>
    <t>Reportando equivalencias faltantes</t>
  </si>
  <si>
    <t>Generar reporte de productos con códigos de proveedor sin equivalencia SKU.</t>
  </si>
  <si>
    <t>UR-59</t>
  </si>
  <si>
    <t>Generando reporte de facturas</t>
  </si>
  <si>
    <t>Generar reporte de facturas filtrable por estado y rango de fechas.</t>
  </si>
  <si>
    <t>UR-60</t>
  </si>
  <si>
    <t>Generando reporte de movimientos</t>
  </si>
  <si>
    <t>Generar reporte de movimientos de inventario filtrable por rango de fechas.</t>
  </si>
  <si>
    <t>Exportando reportes a Excel</t>
  </si>
  <si>
    <t>Permitir exportar a Excel los reportes de RF-57, RF-58, RF-59 y RF-60.</t>
  </si>
  <si>
    <t>Modelo 2.6 / Vista 3.4 / Controlador 4.4</t>
  </si>
  <si>
    <t>TRAZABILIDAD DEL DOCUMENTO — INCREMENTO 3  |  Grupo 20 — Minimarket Antucayen</t>
  </si>
  <si>
    <t>Incremento 3</t>
  </si>
  <si>
    <t>Responsables (redacción)</t>
  </si>
  <si>
    <t>Verificadores (revisión)</t>
  </si>
  <si>
    <t>Estatus</t>
  </si>
  <si>
    <t>Retroalimentación Incremento 2 y acciones correctivas</t>
  </si>
  <si>
    <t>Pendiente</t>
  </si>
  <si>
    <t>Aspectos formales del documento (portada, índices, redacción, formato)</t>
  </si>
  <si>
    <t>Introducción</t>
  </si>
  <si>
    <t>Erick</t>
  </si>
  <si>
    <t>Propuesta de Solución e Incremento 3 (RFs/URs, % parcial y acumulado)</t>
  </si>
  <si>
    <t>Resumen acumulado de Incrementos 1 y 2</t>
  </si>
  <si>
    <t>Documentación Scrum++: Product Backlog actualizado</t>
  </si>
  <si>
    <t>Documentación Scrum++: Sprint Backlog y tabla de esfuerzo</t>
  </si>
  <si>
    <t>Documentación Scrum++: Actas de Daily Scrum</t>
  </si>
  <si>
    <t>Documentación Scrum++: Sprint Review</t>
  </si>
  <si>
    <t>Documentación Scrum++: Sprint Retrospective</t>
  </si>
  <si>
    <t>Vista Lógica (diagrama de clases actualizado)</t>
  </si>
  <si>
    <t>Vista de Procesos (diagramas de secuencia — 4 módulos)</t>
  </si>
  <si>
    <t>Vista de Desarrollo y Vista Física (verificación sin cambios estructurales)</t>
  </si>
  <si>
    <t>Vista Externa (casos de uso extendidos, nombre en gerundio)</t>
  </si>
  <si>
    <t>Árbol de navegación actualizado</t>
  </si>
  <si>
    <t>Casos de uso extendidos (descripción textual completa)</t>
  </si>
  <si>
    <t>Evidencia de pruebas por módulo (capturas + tabla resumen)</t>
  </si>
  <si>
    <t>Anexo: documento de instalación (actualización si aplica)</t>
  </si>
  <si>
    <t>Anexo: checklist final y verificación de archivos en Drive</t>
  </si>
  <si>
    <t>Presentación PPT del Incremento 3</t>
  </si>
  <si>
    <t>Video de funcionalidades del Incremento 3</t>
  </si>
  <si>
    <t>Video de instalación (si hubo cambios)</t>
  </si>
  <si>
    <t>Video de presentación + demo (día de exposición)</t>
  </si>
  <si>
    <t>Empaquetado de código fuente (ZIP) y verificación de compilación</t>
  </si>
  <si>
    <t>Historial de commits Git de todos los integrantes</t>
  </si>
  <si>
    <t>BURN DOWN / BURN UP — INCREMENTO 3  |  Grupo 20 — Minimarket Antucayen</t>
  </si>
  <si>
    <t>Inicio sprint</t>
  </si>
  <si>
    <t>Nota: una tarea se considera completada en su "Fecha término" (col. N del Sprint Backlog). Las fechas de inicio/fin del sprint (azul) son editables.</t>
  </si>
  <si>
    <t>Fin sprint</t>
  </si>
  <si>
    <t>Alcance total (HH Est.)</t>
  </si>
  <si>
    <t>HH Efectivas totales</t>
  </si>
  <si>
    <t>Días del sprint</t>
  </si>
  <si>
    <t>Día</t>
  </si>
  <si>
    <t>Fecha</t>
  </si>
  <si>
    <t>Ideal restante (HH)</t>
  </si>
  <si>
    <t>Real restante (HH)</t>
  </si>
  <si>
    <t>Alcance total (HH)</t>
  </si>
  <si>
    <t>Ideal completado (HH)</t>
  </si>
  <si>
    <t>Real completado (HH)</t>
  </si>
  <si>
    <t>HH Efectivas acumuladas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</si>
</sst>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"/>
    <numFmt numFmtId="166" formatCode="0.0"/>
  </numFmts>
  <fonts count="13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theme="1"/>
      <name val="Calibri"/>
      <family val="2"/>
      <charset val="1"/>
    </font>
    <font>
      <b/>
      <sz val="9"/>
      <name val="Arial"/>
      <charset val="1"/>
    </font>
    <font>
      <sz val="9"/>
      <name val="Arial"/>
      <charset val="1"/>
    </font>
    <font>
      <i/>
      <sz val="9"/>
      <color rgb="FF595959"/>
      <name val="Arial"/>
      <charset val="1"/>
    </font>
    <font>
      <b/>
      <sz val="12"/>
      <color rgb="FF1F3864"/>
      <name val="Arial"/>
      <charset val="1"/>
    </font>
    <font>
      <sz val="9"/>
      <color rgb="FF0000FF"/>
      <name val="Arial"/>
      <charset val="1"/>
    </font>
    <font>
      <i/>
      <sz val="8"/>
      <name val="Arial"/>
      <charset val="1"/>
    </font>
    <font>
      <sz val="9"/>
      <color rgb="FF000000"/>
      <name val="Arial"/>
      <charset val="1"/>
    </font>
    <font>
      <b/>
      <sz val="10"/>
      <color theme="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D0E4F5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D0E4F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4" xfId="0" applyFont="1" applyBorder="1"/>
    <xf numFmtId="164" fontId="9" fillId="0" borderId="4" xfId="0" applyNumberFormat="1" applyFont="1" applyBorder="1"/>
    <xf numFmtId="0" fontId="11" fillId="0" borderId="4" xfId="0" applyFont="1" applyBorder="1"/>
    <xf numFmtId="0" fontId="3" fillId="2" borderId="4" xfId="0" applyFont="1" applyFill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0" fontId="12" fillId="8" borderId="5" xfId="0" applyFont="1" applyFill="1" applyBorder="1"/>
    <xf numFmtId="0" fontId="10" fillId="0" borderId="0" xfId="0" applyFont="1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0E4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A6A6A6"/>
      <rgbColor rgb="FF1F3864"/>
      <rgbColor rgb="FF00B050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Burn Down — Incremento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 Down - Burn Up'!C9</c:f>
              <c:strCache>
                <c:ptCount val="1"/>
                <c:pt idx="0">
                  <c:v>Ideal restante (HH)</c:v>
                </c:pt>
              </c:strCache>
            </c:strRef>
          </c:tx>
          <c:spPr>
            <a:ln w="2808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Down - Burn Up'!$B$10:$B$30</c:f>
              <c:numCache>
                <c:formatCode>dd/mm</c:formatCode>
                <c:ptCount val="21"/>
                <c:pt idx="0">
                  <c:v>46279</c:v>
                </c:pt>
                <c:pt idx="1">
                  <c:v>46280</c:v>
                </c:pt>
                <c:pt idx="2">
                  <c:v>46281</c:v>
                </c:pt>
                <c:pt idx="3">
                  <c:v>46282</c:v>
                </c:pt>
                <c:pt idx="4">
                  <c:v>46283</c:v>
                </c:pt>
                <c:pt idx="5">
                  <c:v>46284</c:v>
                </c:pt>
                <c:pt idx="6">
                  <c:v>46285</c:v>
                </c:pt>
                <c:pt idx="7">
                  <c:v>46286</c:v>
                </c:pt>
                <c:pt idx="8">
                  <c:v>46287</c:v>
                </c:pt>
                <c:pt idx="9">
                  <c:v>46288</c:v>
                </c:pt>
                <c:pt idx="10">
                  <c:v>46289</c:v>
                </c:pt>
                <c:pt idx="11">
                  <c:v>46290</c:v>
                </c:pt>
                <c:pt idx="12">
                  <c:v>46291</c:v>
                </c:pt>
                <c:pt idx="13">
                  <c:v>46292</c:v>
                </c:pt>
                <c:pt idx="14">
                  <c:v>46293</c:v>
                </c:pt>
                <c:pt idx="15">
                  <c:v>46294</c:v>
                </c:pt>
                <c:pt idx="16">
                  <c:v>46295</c:v>
                </c:pt>
                <c:pt idx="17">
                  <c:v>46296</c:v>
                </c:pt>
                <c:pt idx="18">
                  <c:v>46297</c:v>
                </c:pt>
                <c:pt idx="19">
                  <c:v>46298</c:v>
                </c:pt>
                <c:pt idx="20">
                  <c:v>46299</c:v>
                </c:pt>
              </c:numCache>
            </c:numRef>
          </c:cat>
          <c:val>
            <c:numRef>
              <c:f>'Burn Down - Burn Up'!$C$10:$C$30</c:f>
              <c:numCache>
                <c:formatCode>0.0</c:formatCode>
                <c:ptCount val="21"/>
                <c:pt idx="0">
                  <c:v>110.5</c:v>
                </c:pt>
                <c:pt idx="1">
                  <c:v>104.97499999999999</c:v>
                </c:pt>
                <c:pt idx="2">
                  <c:v>99.45</c:v>
                </c:pt>
                <c:pt idx="3">
                  <c:v>93.924999999999997</c:v>
                </c:pt>
                <c:pt idx="4">
                  <c:v>88.4</c:v>
                </c:pt>
                <c:pt idx="5">
                  <c:v>82.875</c:v>
                </c:pt>
                <c:pt idx="6">
                  <c:v>77.349999999999994</c:v>
                </c:pt>
                <c:pt idx="7">
                  <c:v>71.825000000000003</c:v>
                </c:pt>
                <c:pt idx="8">
                  <c:v>66.3</c:v>
                </c:pt>
                <c:pt idx="9">
                  <c:v>60.774999999999999</c:v>
                </c:pt>
                <c:pt idx="10">
                  <c:v>55.25</c:v>
                </c:pt>
                <c:pt idx="11">
                  <c:v>49.725000000000001</c:v>
                </c:pt>
                <c:pt idx="12">
                  <c:v>44.2</c:v>
                </c:pt>
                <c:pt idx="13">
                  <c:v>38.674999999999997</c:v>
                </c:pt>
                <c:pt idx="14">
                  <c:v>33.150000000000006</c:v>
                </c:pt>
                <c:pt idx="15">
                  <c:v>27.625</c:v>
                </c:pt>
                <c:pt idx="16">
                  <c:v>22.099999999999994</c:v>
                </c:pt>
                <c:pt idx="17">
                  <c:v>16.575000000000003</c:v>
                </c:pt>
                <c:pt idx="18">
                  <c:v>11.049999999999997</c:v>
                </c:pt>
                <c:pt idx="19">
                  <c:v>5.5250000000000057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9-4794-9B29-4B2C346CD9A4}"/>
            </c:ext>
          </c:extLst>
        </c:ser>
        <c:ser>
          <c:idx val="1"/>
          <c:order val="1"/>
          <c:tx>
            <c:strRef>
              <c:f>'Burn Down - Burn Up'!D9</c:f>
              <c:strCache>
                <c:ptCount val="1"/>
                <c:pt idx="0">
                  <c:v>Real restante (HH)</c:v>
                </c:pt>
              </c:strCache>
            </c:strRef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Down - Burn Up'!$B$10:$B$30</c:f>
              <c:numCache>
                <c:formatCode>dd/mm</c:formatCode>
                <c:ptCount val="21"/>
                <c:pt idx="0">
                  <c:v>46279</c:v>
                </c:pt>
                <c:pt idx="1">
                  <c:v>46280</c:v>
                </c:pt>
                <c:pt idx="2">
                  <c:v>46281</c:v>
                </c:pt>
                <c:pt idx="3">
                  <c:v>46282</c:v>
                </c:pt>
                <c:pt idx="4">
                  <c:v>46283</c:v>
                </c:pt>
                <c:pt idx="5">
                  <c:v>46284</c:v>
                </c:pt>
                <c:pt idx="6">
                  <c:v>46285</c:v>
                </c:pt>
                <c:pt idx="7">
                  <c:v>46286</c:v>
                </c:pt>
                <c:pt idx="8">
                  <c:v>46287</c:v>
                </c:pt>
                <c:pt idx="9">
                  <c:v>46288</c:v>
                </c:pt>
                <c:pt idx="10">
                  <c:v>46289</c:v>
                </c:pt>
                <c:pt idx="11">
                  <c:v>46290</c:v>
                </c:pt>
                <c:pt idx="12">
                  <c:v>46291</c:v>
                </c:pt>
                <c:pt idx="13">
                  <c:v>46292</c:v>
                </c:pt>
                <c:pt idx="14">
                  <c:v>46293</c:v>
                </c:pt>
                <c:pt idx="15">
                  <c:v>46294</c:v>
                </c:pt>
                <c:pt idx="16">
                  <c:v>46295</c:v>
                </c:pt>
                <c:pt idx="17">
                  <c:v>46296</c:v>
                </c:pt>
                <c:pt idx="18">
                  <c:v>46297</c:v>
                </c:pt>
                <c:pt idx="19">
                  <c:v>46298</c:v>
                </c:pt>
                <c:pt idx="20">
                  <c:v>46299</c:v>
                </c:pt>
              </c:numCache>
            </c:numRef>
          </c:cat>
          <c:val>
            <c:numRef>
              <c:f>'Burn Down - Burn Up'!$D$10:$D$30</c:f>
              <c:numCache>
                <c:formatCode>0.0</c:formatCode>
                <c:ptCount val="21"/>
                <c:pt idx="0">
                  <c:v>109.5</c:v>
                </c:pt>
                <c:pt idx="1">
                  <c:v>108.5</c:v>
                </c:pt>
                <c:pt idx="2">
                  <c:v>103.5</c:v>
                </c:pt>
                <c:pt idx="3">
                  <c:v>102.5</c:v>
                </c:pt>
                <c:pt idx="4">
                  <c:v>101.5</c:v>
                </c:pt>
                <c:pt idx="5">
                  <c:v>97.5</c:v>
                </c:pt>
                <c:pt idx="6">
                  <c:v>93.5</c:v>
                </c:pt>
                <c:pt idx="7">
                  <c:v>93.5</c:v>
                </c:pt>
                <c:pt idx="8">
                  <c:v>91.5</c:v>
                </c:pt>
                <c:pt idx="9">
                  <c:v>87.5</c:v>
                </c:pt>
                <c:pt idx="10">
                  <c:v>84.5</c:v>
                </c:pt>
                <c:pt idx="11">
                  <c:v>75.5</c:v>
                </c:pt>
                <c:pt idx="12">
                  <c:v>72.5</c:v>
                </c:pt>
                <c:pt idx="13">
                  <c:v>65.5</c:v>
                </c:pt>
                <c:pt idx="14">
                  <c:v>63.5</c:v>
                </c:pt>
                <c:pt idx="15">
                  <c:v>59.5</c:v>
                </c:pt>
                <c:pt idx="16">
                  <c:v>55.5</c:v>
                </c:pt>
                <c:pt idx="17">
                  <c:v>50.5</c:v>
                </c:pt>
                <c:pt idx="18">
                  <c:v>48.5</c:v>
                </c:pt>
                <c:pt idx="19">
                  <c:v>42.5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9-4794-9B29-4B2C346CD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859972"/>
        <c:axId val="13625315"/>
      </c:lineChart>
      <c:dateAx>
        <c:axId val="808599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25315"/>
        <c:crosses val="autoZero"/>
        <c:auto val="1"/>
        <c:lblOffset val="100"/>
        <c:baseTimeUnit val="days"/>
      </c:dateAx>
      <c:valAx>
        <c:axId val="136253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HH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8599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Burn Up — Incremento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 Down - Burn Up'!E9</c:f>
              <c:strCache>
                <c:ptCount val="1"/>
                <c:pt idx="0">
                  <c:v>Alcance total (HH)</c:v>
                </c:pt>
              </c:strCache>
            </c:strRef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Down - Burn Up'!$B$10:$B$30</c:f>
              <c:numCache>
                <c:formatCode>dd/mm</c:formatCode>
                <c:ptCount val="21"/>
                <c:pt idx="0">
                  <c:v>46279</c:v>
                </c:pt>
                <c:pt idx="1">
                  <c:v>46280</c:v>
                </c:pt>
                <c:pt idx="2">
                  <c:v>46281</c:v>
                </c:pt>
                <c:pt idx="3">
                  <c:v>46282</c:v>
                </c:pt>
                <c:pt idx="4">
                  <c:v>46283</c:v>
                </c:pt>
                <c:pt idx="5">
                  <c:v>46284</c:v>
                </c:pt>
                <c:pt idx="6">
                  <c:v>46285</c:v>
                </c:pt>
                <c:pt idx="7">
                  <c:v>46286</c:v>
                </c:pt>
                <c:pt idx="8">
                  <c:v>46287</c:v>
                </c:pt>
                <c:pt idx="9">
                  <c:v>46288</c:v>
                </c:pt>
                <c:pt idx="10">
                  <c:v>46289</c:v>
                </c:pt>
                <c:pt idx="11">
                  <c:v>46290</c:v>
                </c:pt>
                <c:pt idx="12">
                  <c:v>46291</c:v>
                </c:pt>
                <c:pt idx="13">
                  <c:v>46292</c:v>
                </c:pt>
                <c:pt idx="14">
                  <c:v>46293</c:v>
                </c:pt>
                <c:pt idx="15">
                  <c:v>46294</c:v>
                </c:pt>
                <c:pt idx="16">
                  <c:v>46295</c:v>
                </c:pt>
                <c:pt idx="17">
                  <c:v>46296</c:v>
                </c:pt>
                <c:pt idx="18">
                  <c:v>46297</c:v>
                </c:pt>
                <c:pt idx="19">
                  <c:v>46298</c:v>
                </c:pt>
                <c:pt idx="20">
                  <c:v>46299</c:v>
                </c:pt>
              </c:numCache>
            </c:numRef>
          </c:cat>
          <c:val>
            <c:numRef>
              <c:f>'Burn Down - Burn Up'!$E$10:$E$30</c:f>
              <c:numCache>
                <c:formatCode>0.0</c:formatCode>
                <c:ptCount val="21"/>
                <c:pt idx="0">
                  <c:v>110.5</c:v>
                </c:pt>
                <c:pt idx="1">
                  <c:v>110.5</c:v>
                </c:pt>
                <c:pt idx="2">
                  <c:v>110.5</c:v>
                </c:pt>
                <c:pt idx="3">
                  <c:v>110.5</c:v>
                </c:pt>
                <c:pt idx="4">
                  <c:v>110.5</c:v>
                </c:pt>
                <c:pt idx="5">
                  <c:v>110.5</c:v>
                </c:pt>
                <c:pt idx="6">
                  <c:v>110.5</c:v>
                </c:pt>
                <c:pt idx="7">
                  <c:v>110.5</c:v>
                </c:pt>
                <c:pt idx="8">
                  <c:v>110.5</c:v>
                </c:pt>
                <c:pt idx="9">
                  <c:v>110.5</c:v>
                </c:pt>
                <c:pt idx="10">
                  <c:v>110.5</c:v>
                </c:pt>
                <c:pt idx="11">
                  <c:v>110.5</c:v>
                </c:pt>
                <c:pt idx="12">
                  <c:v>110.5</c:v>
                </c:pt>
                <c:pt idx="13">
                  <c:v>110.5</c:v>
                </c:pt>
                <c:pt idx="14">
                  <c:v>110.5</c:v>
                </c:pt>
                <c:pt idx="15">
                  <c:v>110.5</c:v>
                </c:pt>
                <c:pt idx="16">
                  <c:v>110.5</c:v>
                </c:pt>
                <c:pt idx="17">
                  <c:v>110.5</c:v>
                </c:pt>
                <c:pt idx="18">
                  <c:v>110.5</c:v>
                </c:pt>
                <c:pt idx="19">
                  <c:v>110.5</c:v>
                </c:pt>
                <c:pt idx="20">
                  <c:v>110.5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9-4CE1-B8E6-B48FADB7F5D2}"/>
            </c:ext>
          </c:extLst>
        </c:ser>
        <c:ser>
          <c:idx val="1"/>
          <c:order val="1"/>
          <c:tx>
            <c:strRef>
              <c:f>'Burn Down - Burn Up'!F9</c:f>
              <c:strCache>
                <c:ptCount val="1"/>
                <c:pt idx="0">
                  <c:v>Ideal completado (HH)</c:v>
                </c:pt>
              </c:strCache>
            </c:strRef>
          </c:tx>
          <c:spPr>
            <a:ln w="2808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Down - Burn Up'!$B$10:$B$30</c:f>
              <c:numCache>
                <c:formatCode>dd/mm</c:formatCode>
                <c:ptCount val="21"/>
                <c:pt idx="0">
                  <c:v>46279</c:v>
                </c:pt>
                <c:pt idx="1">
                  <c:v>46280</c:v>
                </c:pt>
                <c:pt idx="2">
                  <c:v>46281</c:v>
                </c:pt>
                <c:pt idx="3">
                  <c:v>46282</c:v>
                </c:pt>
                <c:pt idx="4">
                  <c:v>46283</c:v>
                </c:pt>
                <c:pt idx="5">
                  <c:v>46284</c:v>
                </c:pt>
                <c:pt idx="6">
                  <c:v>46285</c:v>
                </c:pt>
                <c:pt idx="7">
                  <c:v>46286</c:v>
                </c:pt>
                <c:pt idx="8">
                  <c:v>46287</c:v>
                </c:pt>
                <c:pt idx="9">
                  <c:v>46288</c:v>
                </c:pt>
                <c:pt idx="10">
                  <c:v>46289</c:v>
                </c:pt>
                <c:pt idx="11">
                  <c:v>46290</c:v>
                </c:pt>
                <c:pt idx="12">
                  <c:v>46291</c:v>
                </c:pt>
                <c:pt idx="13">
                  <c:v>46292</c:v>
                </c:pt>
                <c:pt idx="14">
                  <c:v>46293</c:v>
                </c:pt>
                <c:pt idx="15">
                  <c:v>46294</c:v>
                </c:pt>
                <c:pt idx="16">
                  <c:v>46295</c:v>
                </c:pt>
                <c:pt idx="17">
                  <c:v>46296</c:v>
                </c:pt>
                <c:pt idx="18">
                  <c:v>46297</c:v>
                </c:pt>
                <c:pt idx="19">
                  <c:v>46298</c:v>
                </c:pt>
                <c:pt idx="20">
                  <c:v>46299</c:v>
                </c:pt>
              </c:numCache>
            </c:numRef>
          </c:cat>
          <c:val>
            <c:numRef>
              <c:f>'Burn Down - Burn Up'!$F$10:$F$30</c:f>
              <c:numCache>
                <c:formatCode>0.0</c:formatCode>
                <c:ptCount val="21"/>
                <c:pt idx="0">
                  <c:v>0</c:v>
                </c:pt>
                <c:pt idx="1">
                  <c:v>5.5250000000000057</c:v>
                </c:pt>
                <c:pt idx="2">
                  <c:v>11.049999999999997</c:v>
                </c:pt>
                <c:pt idx="3">
                  <c:v>16.575000000000003</c:v>
                </c:pt>
                <c:pt idx="4">
                  <c:v>22.099999999999994</c:v>
                </c:pt>
                <c:pt idx="5">
                  <c:v>27.625</c:v>
                </c:pt>
                <c:pt idx="6">
                  <c:v>33.150000000000006</c:v>
                </c:pt>
                <c:pt idx="7">
                  <c:v>38.674999999999997</c:v>
                </c:pt>
                <c:pt idx="8">
                  <c:v>44.2</c:v>
                </c:pt>
                <c:pt idx="9">
                  <c:v>49.725000000000001</c:v>
                </c:pt>
                <c:pt idx="10">
                  <c:v>55.25</c:v>
                </c:pt>
                <c:pt idx="11">
                  <c:v>60.774999999999999</c:v>
                </c:pt>
                <c:pt idx="12">
                  <c:v>66.3</c:v>
                </c:pt>
                <c:pt idx="13">
                  <c:v>71.825000000000003</c:v>
                </c:pt>
                <c:pt idx="14">
                  <c:v>77.349999999999994</c:v>
                </c:pt>
                <c:pt idx="15">
                  <c:v>82.875</c:v>
                </c:pt>
                <c:pt idx="16">
                  <c:v>88.4</c:v>
                </c:pt>
                <c:pt idx="17">
                  <c:v>93.924999999999997</c:v>
                </c:pt>
                <c:pt idx="18">
                  <c:v>99.45</c:v>
                </c:pt>
                <c:pt idx="19">
                  <c:v>104.97499999999999</c:v>
                </c:pt>
                <c:pt idx="20">
                  <c:v>110.5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9-4CE1-B8E6-B48FADB7F5D2}"/>
            </c:ext>
          </c:extLst>
        </c:ser>
        <c:ser>
          <c:idx val="2"/>
          <c:order val="2"/>
          <c:tx>
            <c:strRef>
              <c:f>'Burn Down - Burn Up'!G9</c:f>
              <c:strCache>
                <c:ptCount val="1"/>
                <c:pt idx="0">
                  <c:v>Real completado (HH)</c:v>
                </c:pt>
              </c:strCache>
            </c:strRef>
          </c:tx>
          <c:spPr>
            <a:ln w="2808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Down - Burn Up'!$B$10:$B$30</c:f>
              <c:numCache>
                <c:formatCode>dd/mm</c:formatCode>
                <c:ptCount val="21"/>
                <c:pt idx="0">
                  <c:v>46279</c:v>
                </c:pt>
                <c:pt idx="1">
                  <c:v>46280</c:v>
                </c:pt>
                <c:pt idx="2">
                  <c:v>46281</c:v>
                </c:pt>
                <c:pt idx="3">
                  <c:v>46282</c:v>
                </c:pt>
                <c:pt idx="4">
                  <c:v>46283</c:v>
                </c:pt>
                <c:pt idx="5">
                  <c:v>46284</c:v>
                </c:pt>
                <c:pt idx="6">
                  <c:v>46285</c:v>
                </c:pt>
                <c:pt idx="7">
                  <c:v>46286</c:v>
                </c:pt>
                <c:pt idx="8">
                  <c:v>46287</c:v>
                </c:pt>
                <c:pt idx="9">
                  <c:v>46288</c:v>
                </c:pt>
                <c:pt idx="10">
                  <c:v>46289</c:v>
                </c:pt>
                <c:pt idx="11">
                  <c:v>46290</c:v>
                </c:pt>
                <c:pt idx="12">
                  <c:v>46291</c:v>
                </c:pt>
                <c:pt idx="13">
                  <c:v>46292</c:v>
                </c:pt>
                <c:pt idx="14">
                  <c:v>46293</c:v>
                </c:pt>
                <c:pt idx="15">
                  <c:v>46294</c:v>
                </c:pt>
                <c:pt idx="16">
                  <c:v>46295</c:v>
                </c:pt>
                <c:pt idx="17">
                  <c:v>46296</c:v>
                </c:pt>
                <c:pt idx="18">
                  <c:v>46297</c:v>
                </c:pt>
                <c:pt idx="19">
                  <c:v>46298</c:v>
                </c:pt>
                <c:pt idx="20">
                  <c:v>46299</c:v>
                </c:pt>
              </c:numCache>
            </c:numRef>
          </c:cat>
          <c:val>
            <c:numRef>
              <c:f>'Burn Down - Burn Up'!$G$10:$G$30</c:f>
              <c:numCache>
                <c:formatCode>0.0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13</c:v>
                </c:pt>
                <c:pt idx="6">
                  <c:v>17</c:v>
                </c:pt>
                <c:pt idx="7">
                  <c:v>17</c:v>
                </c:pt>
                <c:pt idx="8">
                  <c:v>19</c:v>
                </c:pt>
                <c:pt idx="9">
                  <c:v>23</c:v>
                </c:pt>
                <c:pt idx="10">
                  <c:v>26</c:v>
                </c:pt>
                <c:pt idx="11">
                  <c:v>35</c:v>
                </c:pt>
                <c:pt idx="12">
                  <c:v>38</c:v>
                </c:pt>
                <c:pt idx="13">
                  <c:v>45</c:v>
                </c:pt>
                <c:pt idx="14">
                  <c:v>47</c:v>
                </c:pt>
                <c:pt idx="15">
                  <c:v>51</c:v>
                </c:pt>
                <c:pt idx="16">
                  <c:v>55</c:v>
                </c:pt>
                <c:pt idx="17">
                  <c:v>60</c:v>
                </c:pt>
                <c:pt idx="18">
                  <c:v>62</c:v>
                </c:pt>
                <c:pt idx="19">
                  <c:v>68</c:v>
                </c:pt>
                <c:pt idx="20">
                  <c:v>110.5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9-4CE1-B8E6-B48FADB7F5D2}"/>
            </c:ext>
          </c:extLst>
        </c:ser>
        <c:ser>
          <c:idx val="3"/>
          <c:order val="3"/>
          <c:tx>
            <c:strRef>
              <c:f>'Burn Down - Burn Up'!H9</c:f>
              <c:strCache>
                <c:ptCount val="1"/>
                <c:pt idx="0">
                  <c:v>HH Efectivas acumuladas</c:v>
                </c:pt>
              </c:strCache>
            </c:strRef>
          </c:tx>
          <c:spPr>
            <a:ln w="28080">
              <a:solidFill>
                <a:srgbClr val="ED7D31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Down - Burn Up'!$B$10:$B$30</c:f>
              <c:numCache>
                <c:formatCode>dd/mm</c:formatCode>
                <c:ptCount val="21"/>
                <c:pt idx="0">
                  <c:v>46279</c:v>
                </c:pt>
                <c:pt idx="1">
                  <c:v>46280</c:v>
                </c:pt>
                <c:pt idx="2">
                  <c:v>46281</c:v>
                </c:pt>
                <c:pt idx="3">
                  <c:v>46282</c:v>
                </c:pt>
                <c:pt idx="4">
                  <c:v>46283</c:v>
                </c:pt>
                <c:pt idx="5">
                  <c:v>46284</c:v>
                </c:pt>
                <c:pt idx="6">
                  <c:v>46285</c:v>
                </c:pt>
                <c:pt idx="7">
                  <c:v>46286</c:v>
                </c:pt>
                <c:pt idx="8">
                  <c:v>46287</c:v>
                </c:pt>
                <c:pt idx="9">
                  <c:v>46288</c:v>
                </c:pt>
                <c:pt idx="10">
                  <c:v>46289</c:v>
                </c:pt>
                <c:pt idx="11">
                  <c:v>46290</c:v>
                </c:pt>
                <c:pt idx="12">
                  <c:v>46291</c:v>
                </c:pt>
                <c:pt idx="13">
                  <c:v>46292</c:v>
                </c:pt>
                <c:pt idx="14">
                  <c:v>46293</c:v>
                </c:pt>
                <c:pt idx="15">
                  <c:v>46294</c:v>
                </c:pt>
                <c:pt idx="16">
                  <c:v>46295</c:v>
                </c:pt>
                <c:pt idx="17">
                  <c:v>46296</c:v>
                </c:pt>
                <c:pt idx="18">
                  <c:v>46297</c:v>
                </c:pt>
                <c:pt idx="19">
                  <c:v>46298</c:v>
                </c:pt>
                <c:pt idx="20">
                  <c:v>46299</c:v>
                </c:pt>
              </c:numCache>
            </c:numRef>
          </c:cat>
          <c:val>
            <c:numRef>
              <c:f>'Burn Down - Burn Up'!$H$10:$H$30</c:f>
              <c:numCache>
                <c:formatCode>0.0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20</c:v>
                </c:pt>
                <c:pt idx="8">
                  <c:v>21.5</c:v>
                </c:pt>
                <c:pt idx="9">
                  <c:v>25.5</c:v>
                </c:pt>
                <c:pt idx="10">
                  <c:v>28</c:v>
                </c:pt>
                <c:pt idx="11">
                  <c:v>39.5</c:v>
                </c:pt>
                <c:pt idx="12">
                  <c:v>43</c:v>
                </c:pt>
                <c:pt idx="13">
                  <c:v>51.5</c:v>
                </c:pt>
                <c:pt idx="14">
                  <c:v>53.5</c:v>
                </c:pt>
                <c:pt idx="15">
                  <c:v>57.5</c:v>
                </c:pt>
                <c:pt idx="16">
                  <c:v>61.5</c:v>
                </c:pt>
                <c:pt idx="17">
                  <c:v>67</c:v>
                </c:pt>
                <c:pt idx="18">
                  <c:v>70</c:v>
                </c:pt>
                <c:pt idx="19">
                  <c:v>76.5</c:v>
                </c:pt>
                <c:pt idx="20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09-4CE1-B8E6-B48FADB7F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256119"/>
        <c:axId val="24888316"/>
      </c:lineChart>
      <c:dateAx>
        <c:axId val="382561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88316"/>
        <c:crosses val="autoZero"/>
        <c:auto val="1"/>
        <c:lblOffset val="100"/>
        <c:baseTimeUnit val="days"/>
      </c:dateAx>
      <c:valAx>
        <c:axId val="248883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2561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85725</xdr:rowOff>
    </xdr:from>
    <xdr:to>
      <xdr:col>20</xdr:col>
      <xdr:colOff>473040</xdr:colOff>
      <xdr:row>18</xdr:row>
      <xdr:rowOff>86805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257175</xdr:colOff>
      <xdr:row>29</xdr:row>
      <xdr:rowOff>180975</xdr:rowOff>
    </xdr:from>
    <xdr:to>
      <xdr:col>20</xdr:col>
      <xdr:colOff>463515</xdr:colOff>
      <xdr:row>46</xdr:row>
      <xdr:rowOff>182415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showGridLines="0" zoomScaleNormal="100" workbookViewId="0">
      <pane ySplit="2" topLeftCell="D25" activePane="bottomLeft" state="frozen"/>
      <selection pane="bottomLeft" activeCell="N49" sqref="L28:N49"/>
    </sheetView>
  </sheetViews>
  <sheetFormatPr defaultColWidth="8.7109375" defaultRowHeight="15"/>
  <cols>
    <col min="1" max="1" width="10" customWidth="1"/>
    <col min="2" max="2" width="18" customWidth="1"/>
    <col min="3" max="3" width="8" customWidth="1"/>
    <col min="4" max="4" width="56.7109375" customWidth="1"/>
    <col min="5" max="5" width="16" customWidth="1"/>
    <col min="6" max="6" width="8" customWidth="1"/>
    <col min="7" max="7" width="12" customWidth="1"/>
    <col min="8" max="8" width="55" customWidth="1"/>
    <col min="9" max="9" width="18" customWidth="1"/>
    <col min="10" max="10" width="32" customWidth="1"/>
    <col min="11" max="11" width="20" customWidth="1"/>
    <col min="12" max="14" width="14" customWidth="1"/>
    <col min="15" max="15" width="13" customWidth="1"/>
    <col min="16" max="16" width="10" customWidth="1"/>
  </cols>
  <sheetData>
    <row r="1" spans="1:16" ht="31.5" customHeight="1">
      <c r="A1" s="29" t="s">
        <v>0</v>
      </c>
      <c r="B1" s="29"/>
      <c r="C1" s="29"/>
      <c r="D1" s="29"/>
      <c r="E1" s="29"/>
      <c r="F1" s="29"/>
      <c r="G1" s="29"/>
      <c r="H1" s="29"/>
      <c r="I1" s="30" t="s">
        <v>1</v>
      </c>
      <c r="J1" s="30"/>
      <c r="K1" s="30"/>
      <c r="L1" s="30"/>
      <c r="M1" s="30"/>
      <c r="N1" s="30" t="s">
        <v>2</v>
      </c>
      <c r="O1" s="30"/>
      <c r="P1" s="30"/>
    </row>
    <row r="2" spans="1:16" ht="27.7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2" t="s">
        <v>14</v>
      </c>
      <c r="M2" s="3" t="s">
        <v>15</v>
      </c>
      <c r="N2" s="3" t="s">
        <v>16</v>
      </c>
      <c r="O2" s="4" t="s">
        <v>17</v>
      </c>
      <c r="P2" s="1" t="s">
        <v>18</v>
      </c>
    </row>
    <row r="3" spans="1:16" ht="51.75" customHeight="1">
      <c r="A3" s="5">
        <v>3</v>
      </c>
      <c r="B3" s="5" t="s">
        <v>19</v>
      </c>
      <c r="C3" s="5" t="s">
        <v>20</v>
      </c>
      <c r="D3" s="6" t="s">
        <v>21</v>
      </c>
      <c r="E3" s="26" t="s">
        <v>22</v>
      </c>
      <c r="F3" s="7">
        <v>2</v>
      </c>
      <c r="G3" s="8" t="s">
        <v>23</v>
      </c>
      <c r="H3" s="6" t="s">
        <v>24</v>
      </c>
      <c r="I3" s="7" t="s">
        <v>25</v>
      </c>
      <c r="J3" s="6" t="s">
        <v>26</v>
      </c>
      <c r="K3" s="7" t="s">
        <v>27</v>
      </c>
      <c r="L3" s="9">
        <v>46281</v>
      </c>
      <c r="M3" s="10">
        <v>46280</v>
      </c>
      <c r="N3" s="11">
        <v>46281</v>
      </c>
      <c r="O3" s="12">
        <v>2.5</v>
      </c>
      <c r="P3" s="7">
        <v>1</v>
      </c>
    </row>
    <row r="4" spans="1:16" ht="51.75" customHeight="1">
      <c r="A4" s="5">
        <v>3</v>
      </c>
      <c r="B4" s="5" t="s">
        <v>19</v>
      </c>
      <c r="C4" s="5" t="s">
        <v>28</v>
      </c>
      <c r="D4" s="6" t="s">
        <v>29</v>
      </c>
      <c r="E4" s="26" t="s">
        <v>22</v>
      </c>
      <c r="F4" s="7">
        <v>1</v>
      </c>
      <c r="G4" s="8" t="s">
        <v>23</v>
      </c>
      <c r="H4" s="6" t="s">
        <v>30</v>
      </c>
      <c r="I4" s="7" t="s">
        <v>25</v>
      </c>
      <c r="J4" s="6" t="s">
        <v>31</v>
      </c>
      <c r="K4" s="7" t="s">
        <v>32</v>
      </c>
      <c r="L4" s="9">
        <v>46283</v>
      </c>
      <c r="M4" s="11">
        <v>46282</v>
      </c>
      <c r="N4" s="11">
        <v>46282</v>
      </c>
      <c r="O4" s="12">
        <v>1</v>
      </c>
      <c r="P4" s="7">
        <v>1</v>
      </c>
    </row>
    <row r="5" spans="1:16" ht="51.75" customHeight="1">
      <c r="A5" s="5">
        <v>3</v>
      </c>
      <c r="B5" s="5" t="s">
        <v>33</v>
      </c>
      <c r="C5" s="5" t="s">
        <v>34</v>
      </c>
      <c r="D5" s="6" t="s">
        <v>35</v>
      </c>
      <c r="E5" s="26" t="s">
        <v>36</v>
      </c>
      <c r="F5" s="7">
        <v>4</v>
      </c>
      <c r="G5" s="8" t="s">
        <v>23</v>
      </c>
      <c r="H5" s="6" t="s">
        <v>37</v>
      </c>
      <c r="I5" s="7" t="s">
        <v>38</v>
      </c>
      <c r="J5" s="6" t="s">
        <v>39</v>
      </c>
      <c r="K5" s="7" t="s">
        <v>40</v>
      </c>
      <c r="L5" s="9">
        <v>46285</v>
      </c>
      <c r="M5" s="11">
        <v>46281</v>
      </c>
      <c r="N5" s="11">
        <v>46284</v>
      </c>
      <c r="O5" s="12">
        <v>5</v>
      </c>
      <c r="P5" s="7">
        <v>1</v>
      </c>
    </row>
    <row r="6" spans="1:16" ht="51.75" customHeight="1">
      <c r="A6" s="5">
        <v>3</v>
      </c>
      <c r="B6" s="5" t="s">
        <v>33</v>
      </c>
      <c r="C6" s="5" t="s">
        <v>41</v>
      </c>
      <c r="D6" s="6" t="s">
        <v>42</v>
      </c>
      <c r="E6" s="26" t="s">
        <v>43</v>
      </c>
      <c r="F6" s="7">
        <v>4</v>
      </c>
      <c r="G6" s="8" t="s">
        <v>23</v>
      </c>
      <c r="H6" s="6" t="s">
        <v>44</v>
      </c>
      <c r="I6" s="7" t="s">
        <v>45</v>
      </c>
      <c r="J6" s="6" t="s">
        <v>46</v>
      </c>
      <c r="K6" s="7" t="s">
        <v>47</v>
      </c>
      <c r="L6" s="9">
        <v>46285</v>
      </c>
      <c r="M6" s="11">
        <v>46282</v>
      </c>
      <c r="N6" s="11">
        <v>46285</v>
      </c>
      <c r="O6" s="12">
        <v>5</v>
      </c>
      <c r="P6" s="7">
        <v>1</v>
      </c>
    </row>
    <row r="7" spans="1:16" ht="51.75" customHeight="1">
      <c r="A7" s="5">
        <v>3</v>
      </c>
      <c r="B7" s="5" t="s">
        <v>33</v>
      </c>
      <c r="C7" s="5" t="s">
        <v>48</v>
      </c>
      <c r="D7" s="6" t="s">
        <v>49</v>
      </c>
      <c r="E7" s="26" t="s">
        <v>50</v>
      </c>
      <c r="F7" s="7">
        <v>4</v>
      </c>
      <c r="G7" s="8" t="s">
        <v>23</v>
      </c>
      <c r="H7" s="6" t="s">
        <v>51</v>
      </c>
      <c r="I7" s="7" t="s">
        <v>52</v>
      </c>
      <c r="J7" s="6" t="s">
        <v>53</v>
      </c>
      <c r="K7" s="7" t="s">
        <v>40</v>
      </c>
      <c r="L7" s="9">
        <v>46289</v>
      </c>
      <c r="M7" s="11">
        <v>46286</v>
      </c>
      <c r="N7" s="11">
        <v>46288</v>
      </c>
      <c r="O7" s="12">
        <v>4</v>
      </c>
      <c r="P7" s="7">
        <v>2</v>
      </c>
    </row>
    <row r="8" spans="1:16" ht="51.75" customHeight="1">
      <c r="A8" s="5">
        <v>3</v>
      </c>
      <c r="B8" s="5" t="s">
        <v>33</v>
      </c>
      <c r="C8" s="5" t="s">
        <v>54</v>
      </c>
      <c r="D8" s="6" t="s">
        <v>55</v>
      </c>
      <c r="E8" s="26" t="s">
        <v>43</v>
      </c>
      <c r="F8" s="7">
        <v>3</v>
      </c>
      <c r="G8" s="8" t="s">
        <v>23</v>
      </c>
      <c r="H8" s="6" t="s">
        <v>56</v>
      </c>
      <c r="I8" s="7" t="s">
        <v>57</v>
      </c>
      <c r="J8" s="6" t="s">
        <v>58</v>
      </c>
      <c r="K8" s="7" t="s">
        <v>40</v>
      </c>
      <c r="L8" s="9">
        <v>46290</v>
      </c>
      <c r="M8" s="11">
        <v>46288</v>
      </c>
      <c r="N8" s="11">
        <v>46289</v>
      </c>
      <c r="O8" s="12">
        <v>2.5</v>
      </c>
      <c r="P8" s="7">
        <v>2</v>
      </c>
    </row>
    <row r="9" spans="1:16" ht="51.75" customHeight="1">
      <c r="A9" s="5">
        <v>3</v>
      </c>
      <c r="B9" s="5" t="s">
        <v>33</v>
      </c>
      <c r="C9" s="5" t="s">
        <v>59</v>
      </c>
      <c r="D9" s="6" t="s">
        <v>60</v>
      </c>
      <c r="E9" s="26" t="s">
        <v>61</v>
      </c>
      <c r="F9" s="7">
        <v>6</v>
      </c>
      <c r="G9" s="8" t="s">
        <v>23</v>
      </c>
      <c r="H9" s="6" t="s">
        <v>62</v>
      </c>
      <c r="I9" s="7" t="s">
        <v>63</v>
      </c>
      <c r="J9" s="6" t="s">
        <v>64</v>
      </c>
      <c r="K9" s="7" t="s">
        <v>40</v>
      </c>
      <c r="L9" s="9">
        <v>46291</v>
      </c>
      <c r="M9" s="11">
        <v>46286</v>
      </c>
      <c r="N9" s="11">
        <v>46290</v>
      </c>
      <c r="O9" s="12">
        <v>8</v>
      </c>
      <c r="P9" s="7">
        <v>2</v>
      </c>
    </row>
    <row r="10" spans="1:16" ht="51.75" customHeight="1">
      <c r="A10" s="5">
        <v>3</v>
      </c>
      <c r="B10" s="5" t="s">
        <v>33</v>
      </c>
      <c r="C10" s="5" t="s">
        <v>65</v>
      </c>
      <c r="D10" s="6" t="s">
        <v>66</v>
      </c>
      <c r="E10" s="26" t="s">
        <v>36</v>
      </c>
      <c r="F10" s="7">
        <v>3</v>
      </c>
      <c r="G10" s="8" t="s">
        <v>23</v>
      </c>
      <c r="H10" s="6" t="s">
        <v>67</v>
      </c>
      <c r="I10" s="7" t="s">
        <v>68</v>
      </c>
      <c r="J10" s="6" t="s">
        <v>69</v>
      </c>
      <c r="K10" s="7" t="s">
        <v>40</v>
      </c>
      <c r="L10" s="9">
        <v>46292</v>
      </c>
      <c r="M10" s="11">
        <v>46291</v>
      </c>
      <c r="N10" s="11">
        <v>46292</v>
      </c>
      <c r="O10" s="12">
        <v>4</v>
      </c>
      <c r="P10" s="7">
        <v>2</v>
      </c>
    </row>
    <row r="11" spans="1:16" ht="51.75" customHeight="1">
      <c r="A11" s="5">
        <v>3</v>
      </c>
      <c r="B11" s="5" t="s">
        <v>70</v>
      </c>
      <c r="C11" s="5" t="s">
        <v>71</v>
      </c>
      <c r="D11" s="6" t="s">
        <v>72</v>
      </c>
      <c r="E11" s="26" t="s">
        <v>36</v>
      </c>
      <c r="F11" s="7">
        <v>2</v>
      </c>
      <c r="G11" s="8" t="s">
        <v>23</v>
      </c>
      <c r="H11" s="6" t="s">
        <v>73</v>
      </c>
      <c r="I11" s="7" t="s">
        <v>38</v>
      </c>
      <c r="J11" s="6" t="s">
        <v>74</v>
      </c>
      <c r="K11" s="7" t="s">
        <v>75</v>
      </c>
      <c r="L11" s="9">
        <v>46289</v>
      </c>
      <c r="M11" s="11">
        <v>46287</v>
      </c>
      <c r="N11" s="11">
        <v>46287</v>
      </c>
      <c r="O11" s="12">
        <v>1.5</v>
      </c>
      <c r="P11" s="7">
        <v>2</v>
      </c>
    </row>
    <row r="12" spans="1:16" ht="51.75" customHeight="1">
      <c r="A12" s="5">
        <v>3</v>
      </c>
      <c r="B12" s="5" t="s">
        <v>70</v>
      </c>
      <c r="C12" s="5" t="s">
        <v>76</v>
      </c>
      <c r="D12" s="6" t="s">
        <v>77</v>
      </c>
      <c r="E12" s="26" t="s">
        <v>78</v>
      </c>
      <c r="F12" s="7">
        <v>3</v>
      </c>
      <c r="G12" s="8" t="s">
        <v>23</v>
      </c>
      <c r="H12" s="6" t="s">
        <v>79</v>
      </c>
      <c r="I12" s="7" t="s">
        <v>52</v>
      </c>
      <c r="J12" s="6" t="s">
        <v>80</v>
      </c>
      <c r="K12" s="7" t="s">
        <v>75</v>
      </c>
      <c r="L12" s="9">
        <v>46290</v>
      </c>
      <c r="M12" s="11">
        <v>46289</v>
      </c>
      <c r="N12" s="11">
        <v>46290</v>
      </c>
      <c r="O12" s="12">
        <v>3.5</v>
      </c>
      <c r="P12" s="7">
        <v>2</v>
      </c>
    </row>
    <row r="13" spans="1:16" ht="51.75" customHeight="1">
      <c r="A13" s="5">
        <v>3</v>
      </c>
      <c r="B13" s="5" t="s">
        <v>70</v>
      </c>
      <c r="C13" s="5" t="s">
        <v>81</v>
      </c>
      <c r="D13" s="6" t="s">
        <v>82</v>
      </c>
      <c r="E13" s="26" t="s">
        <v>43</v>
      </c>
      <c r="F13" s="7">
        <v>3</v>
      </c>
      <c r="G13" s="8" t="s">
        <v>23</v>
      </c>
      <c r="H13" s="6" t="s">
        <v>83</v>
      </c>
      <c r="I13" s="7" t="s">
        <v>57</v>
      </c>
      <c r="J13" s="6" t="s">
        <v>84</v>
      </c>
      <c r="K13" s="7" t="s">
        <v>75</v>
      </c>
      <c r="L13" s="9">
        <v>46291</v>
      </c>
      <c r="M13" s="11">
        <v>46290</v>
      </c>
      <c r="N13" s="11">
        <v>46291</v>
      </c>
      <c r="O13" s="12">
        <v>3.5</v>
      </c>
      <c r="P13" s="7">
        <v>2</v>
      </c>
    </row>
    <row r="14" spans="1:16" ht="51.75" customHeight="1">
      <c r="A14" s="5">
        <v>3</v>
      </c>
      <c r="B14" s="5" t="s">
        <v>70</v>
      </c>
      <c r="C14" s="5" t="s">
        <v>85</v>
      </c>
      <c r="D14" s="6" t="s">
        <v>86</v>
      </c>
      <c r="E14" s="26" t="s">
        <v>36</v>
      </c>
      <c r="F14" s="7">
        <v>4</v>
      </c>
      <c r="G14" s="8" t="s">
        <v>23</v>
      </c>
      <c r="H14" s="6" t="s">
        <v>87</v>
      </c>
      <c r="I14" s="7" t="s">
        <v>88</v>
      </c>
      <c r="J14" s="6" t="s">
        <v>89</v>
      </c>
      <c r="K14" s="7" t="s">
        <v>75</v>
      </c>
      <c r="L14" s="9">
        <v>46292</v>
      </c>
      <c r="M14" s="11">
        <v>46290</v>
      </c>
      <c r="N14" s="11">
        <v>46292</v>
      </c>
      <c r="O14" s="12">
        <v>4.5</v>
      </c>
      <c r="P14" s="7">
        <v>2</v>
      </c>
    </row>
    <row r="15" spans="1:16" ht="51.75" customHeight="1">
      <c r="A15" s="5">
        <v>3</v>
      </c>
      <c r="B15" s="5" t="s">
        <v>90</v>
      </c>
      <c r="C15" s="5" t="s">
        <v>91</v>
      </c>
      <c r="D15" s="6" t="s">
        <v>92</v>
      </c>
      <c r="E15" s="26" t="s">
        <v>36</v>
      </c>
      <c r="F15" s="7">
        <v>2</v>
      </c>
      <c r="G15" s="8" t="s">
        <v>23</v>
      </c>
      <c r="H15" s="6" t="s">
        <v>93</v>
      </c>
      <c r="I15" s="7" t="s">
        <v>38</v>
      </c>
      <c r="J15" s="6" t="s">
        <v>94</v>
      </c>
      <c r="K15" s="7" t="s">
        <v>40</v>
      </c>
      <c r="L15" s="9">
        <v>46294</v>
      </c>
      <c r="M15" s="11">
        <v>46293</v>
      </c>
      <c r="N15" s="11">
        <v>46293</v>
      </c>
      <c r="O15" s="12">
        <v>2</v>
      </c>
      <c r="P15" s="7">
        <v>3</v>
      </c>
    </row>
    <row r="16" spans="1:16" ht="51.75" customHeight="1">
      <c r="A16" s="5">
        <v>3</v>
      </c>
      <c r="B16" s="5" t="s">
        <v>90</v>
      </c>
      <c r="C16" s="5" t="s">
        <v>95</v>
      </c>
      <c r="D16" s="6" t="s">
        <v>96</v>
      </c>
      <c r="E16" s="26" t="s">
        <v>78</v>
      </c>
      <c r="F16" s="7">
        <v>2</v>
      </c>
      <c r="G16" s="8" t="s">
        <v>23</v>
      </c>
      <c r="H16" s="6" t="s">
        <v>97</v>
      </c>
      <c r="I16" s="7" t="s">
        <v>52</v>
      </c>
      <c r="J16" s="6" t="s">
        <v>98</v>
      </c>
      <c r="K16" s="7" t="s">
        <v>40</v>
      </c>
      <c r="L16" s="9">
        <v>46295</v>
      </c>
      <c r="M16" s="11">
        <v>46294</v>
      </c>
      <c r="N16" s="11">
        <v>46294</v>
      </c>
      <c r="O16" s="12">
        <v>2</v>
      </c>
      <c r="P16" s="7">
        <v>3</v>
      </c>
    </row>
    <row r="17" spans="1:16" ht="51.75" customHeight="1">
      <c r="A17" s="5">
        <v>3</v>
      </c>
      <c r="B17" s="5" t="s">
        <v>90</v>
      </c>
      <c r="C17" s="5" t="s">
        <v>99</v>
      </c>
      <c r="D17" s="6" t="s">
        <v>100</v>
      </c>
      <c r="E17" s="26" t="s">
        <v>61</v>
      </c>
      <c r="F17" s="7">
        <v>2</v>
      </c>
      <c r="G17" s="8" t="s">
        <v>23</v>
      </c>
      <c r="H17" s="6" t="s">
        <v>101</v>
      </c>
      <c r="I17" s="7" t="s">
        <v>57</v>
      </c>
      <c r="J17" s="6" t="s">
        <v>102</v>
      </c>
      <c r="K17" s="7" t="s">
        <v>40</v>
      </c>
      <c r="L17" s="9">
        <v>46296</v>
      </c>
      <c r="M17" s="11">
        <v>46295</v>
      </c>
      <c r="N17" s="11">
        <v>46295</v>
      </c>
      <c r="O17" s="12">
        <v>2</v>
      </c>
      <c r="P17" s="7">
        <v>3</v>
      </c>
    </row>
    <row r="18" spans="1:16" ht="51.75" customHeight="1">
      <c r="A18" s="5">
        <v>3</v>
      </c>
      <c r="B18" s="5" t="s">
        <v>90</v>
      </c>
      <c r="C18" s="5" t="s">
        <v>103</v>
      </c>
      <c r="D18" s="6" t="s">
        <v>104</v>
      </c>
      <c r="E18" s="26" t="s">
        <v>36</v>
      </c>
      <c r="F18" s="7">
        <v>3</v>
      </c>
      <c r="G18" s="8" t="s">
        <v>23</v>
      </c>
      <c r="H18" s="6" t="s">
        <v>105</v>
      </c>
      <c r="I18" s="7" t="s">
        <v>88</v>
      </c>
      <c r="J18" s="6" t="s">
        <v>106</v>
      </c>
      <c r="K18" s="7" t="s">
        <v>40</v>
      </c>
      <c r="L18" s="9">
        <v>46297</v>
      </c>
      <c r="M18" s="11">
        <v>46295</v>
      </c>
      <c r="N18" s="11">
        <v>46296</v>
      </c>
      <c r="O18" s="12">
        <v>2.5</v>
      </c>
      <c r="P18" s="7">
        <v>3</v>
      </c>
    </row>
    <row r="19" spans="1:16" ht="51.75" customHeight="1">
      <c r="A19" s="5">
        <v>3</v>
      </c>
      <c r="B19" s="5" t="s">
        <v>107</v>
      </c>
      <c r="C19" s="5" t="s">
        <v>108</v>
      </c>
      <c r="D19" s="6" t="s">
        <v>109</v>
      </c>
      <c r="E19" s="26" t="s">
        <v>50</v>
      </c>
      <c r="F19" s="7">
        <v>3</v>
      </c>
      <c r="G19" s="8" t="s">
        <v>23</v>
      </c>
      <c r="H19" s="6" t="s">
        <v>110</v>
      </c>
      <c r="I19" s="7" t="s">
        <v>25</v>
      </c>
      <c r="J19" s="6" t="s">
        <v>111</v>
      </c>
      <c r="K19" s="7" t="s">
        <v>112</v>
      </c>
      <c r="L19" s="9">
        <v>46298</v>
      </c>
      <c r="M19" s="11">
        <v>46297</v>
      </c>
      <c r="N19" s="11">
        <v>46298</v>
      </c>
      <c r="O19" s="12">
        <v>2.5</v>
      </c>
      <c r="P19" s="7">
        <v>3</v>
      </c>
    </row>
    <row r="20" spans="1:16" ht="51.75" customHeight="1">
      <c r="A20" s="5">
        <v>3</v>
      </c>
      <c r="B20" s="5" t="s">
        <v>107</v>
      </c>
      <c r="C20" s="5" t="s">
        <v>113</v>
      </c>
      <c r="D20" s="6" t="s">
        <v>114</v>
      </c>
      <c r="E20" s="26" t="s">
        <v>43</v>
      </c>
      <c r="F20" s="7">
        <v>2</v>
      </c>
      <c r="G20" s="8" t="s">
        <v>23</v>
      </c>
      <c r="H20" s="6" t="s">
        <v>115</v>
      </c>
      <c r="I20" s="7" t="s">
        <v>116</v>
      </c>
      <c r="J20" s="6" t="s">
        <v>117</v>
      </c>
      <c r="K20" s="7" t="s">
        <v>112</v>
      </c>
      <c r="L20" s="9">
        <v>46294</v>
      </c>
      <c r="M20" s="11">
        <v>46294</v>
      </c>
      <c r="N20" s="11">
        <v>46294</v>
      </c>
      <c r="O20" s="12">
        <v>2</v>
      </c>
      <c r="P20" s="7">
        <v>3</v>
      </c>
    </row>
    <row r="21" spans="1:16" ht="51.75" customHeight="1">
      <c r="A21" s="5">
        <v>3</v>
      </c>
      <c r="B21" s="5" t="s">
        <v>107</v>
      </c>
      <c r="C21" s="5" t="s">
        <v>118</v>
      </c>
      <c r="D21" s="6" t="s">
        <v>119</v>
      </c>
      <c r="E21" s="26" t="s">
        <v>61</v>
      </c>
      <c r="F21" s="7">
        <v>2</v>
      </c>
      <c r="G21" s="8" t="s">
        <v>23</v>
      </c>
      <c r="H21" s="6" t="s">
        <v>120</v>
      </c>
      <c r="I21" s="7" t="s">
        <v>52</v>
      </c>
      <c r="J21" s="6" t="s">
        <v>121</v>
      </c>
      <c r="K21" s="7" t="s">
        <v>112</v>
      </c>
      <c r="L21" s="9">
        <v>46295</v>
      </c>
      <c r="M21" s="11">
        <v>46295</v>
      </c>
      <c r="N21" s="11">
        <v>46295</v>
      </c>
      <c r="O21" s="12">
        <v>2</v>
      </c>
      <c r="P21" s="7">
        <v>3</v>
      </c>
    </row>
    <row r="22" spans="1:16" ht="51.75" customHeight="1">
      <c r="A22" s="5">
        <v>3</v>
      </c>
      <c r="B22" s="5" t="s">
        <v>107</v>
      </c>
      <c r="C22" s="5" t="s">
        <v>122</v>
      </c>
      <c r="D22" s="6" t="s">
        <v>123</v>
      </c>
      <c r="E22" s="26" t="s">
        <v>50</v>
      </c>
      <c r="F22" s="7">
        <v>2</v>
      </c>
      <c r="G22" s="8" t="s">
        <v>23</v>
      </c>
      <c r="H22" s="6" t="s">
        <v>120</v>
      </c>
      <c r="I22" s="7" t="s">
        <v>57</v>
      </c>
      <c r="J22" s="6" t="s">
        <v>124</v>
      </c>
      <c r="K22" s="7" t="s">
        <v>112</v>
      </c>
      <c r="L22" s="9">
        <v>46296</v>
      </c>
      <c r="M22" s="11">
        <v>46295</v>
      </c>
      <c r="N22" s="11">
        <v>46296</v>
      </c>
      <c r="O22" s="12">
        <v>3</v>
      </c>
      <c r="P22" s="7">
        <v>3</v>
      </c>
    </row>
    <row r="23" spans="1:16" ht="51.75" customHeight="1">
      <c r="A23" s="5">
        <v>3</v>
      </c>
      <c r="B23" s="5" t="s">
        <v>107</v>
      </c>
      <c r="C23" s="5" t="s">
        <v>125</v>
      </c>
      <c r="D23" s="6" t="s">
        <v>126</v>
      </c>
      <c r="E23" s="26" t="s">
        <v>50</v>
      </c>
      <c r="F23" s="7">
        <v>2</v>
      </c>
      <c r="G23" s="8" t="s">
        <v>23</v>
      </c>
      <c r="H23" s="6" t="s">
        <v>127</v>
      </c>
      <c r="I23" s="7" t="s">
        <v>88</v>
      </c>
      <c r="J23" s="6" t="s">
        <v>128</v>
      </c>
      <c r="K23" s="7" t="s">
        <v>112</v>
      </c>
      <c r="L23" s="9">
        <v>46297</v>
      </c>
      <c r="M23" s="11">
        <v>46296</v>
      </c>
      <c r="N23" s="11">
        <v>46297</v>
      </c>
      <c r="O23" s="12">
        <v>3</v>
      </c>
      <c r="P23" s="7">
        <v>3</v>
      </c>
    </row>
    <row r="24" spans="1:16" ht="51.75" customHeight="1">
      <c r="A24" s="5">
        <v>3</v>
      </c>
      <c r="B24" s="5" t="s">
        <v>107</v>
      </c>
      <c r="C24" s="5" t="s">
        <v>129</v>
      </c>
      <c r="D24" s="6" t="s">
        <v>130</v>
      </c>
      <c r="E24" s="26" t="s">
        <v>50</v>
      </c>
      <c r="F24" s="7">
        <v>2</v>
      </c>
      <c r="G24" s="8" t="s">
        <v>23</v>
      </c>
      <c r="H24" s="6" t="s">
        <v>131</v>
      </c>
      <c r="I24" s="7" t="s">
        <v>25</v>
      </c>
      <c r="J24" s="6" t="s">
        <v>132</v>
      </c>
      <c r="K24" s="7" t="s">
        <v>133</v>
      </c>
      <c r="L24" s="9">
        <v>46299</v>
      </c>
      <c r="M24" s="11">
        <v>46298</v>
      </c>
      <c r="N24" s="11">
        <v>46299</v>
      </c>
      <c r="O24" s="12">
        <v>2.5</v>
      </c>
      <c r="P24" s="7">
        <v>3</v>
      </c>
    </row>
    <row r="25" spans="1:16" ht="51.75" customHeight="1">
      <c r="A25" s="5">
        <v>3</v>
      </c>
      <c r="B25" s="5" t="s">
        <v>134</v>
      </c>
      <c r="C25" s="5" t="s">
        <v>135</v>
      </c>
      <c r="D25" s="6" t="s">
        <v>136</v>
      </c>
      <c r="E25" s="26" t="s">
        <v>22</v>
      </c>
      <c r="F25" s="7">
        <v>1</v>
      </c>
      <c r="G25" s="8" t="s">
        <v>23</v>
      </c>
      <c r="H25" s="6" t="s">
        <v>137</v>
      </c>
      <c r="I25" s="7" t="s">
        <v>138</v>
      </c>
      <c r="J25" s="6" t="s">
        <v>139</v>
      </c>
      <c r="K25" s="7" t="s">
        <v>140</v>
      </c>
      <c r="L25" s="9">
        <v>46282</v>
      </c>
      <c r="M25" s="11">
        <v>46279</v>
      </c>
      <c r="N25" s="11">
        <v>46279</v>
      </c>
      <c r="O25" s="12">
        <v>1</v>
      </c>
      <c r="P25" s="7">
        <v>1</v>
      </c>
    </row>
    <row r="26" spans="1:16" ht="51.75" customHeight="1">
      <c r="A26" s="5">
        <v>3</v>
      </c>
      <c r="B26" s="5" t="s">
        <v>134</v>
      </c>
      <c r="C26" s="5" t="s">
        <v>141</v>
      </c>
      <c r="D26" s="6" t="s">
        <v>142</v>
      </c>
      <c r="E26" s="26" t="s">
        <v>143</v>
      </c>
      <c r="F26" s="7">
        <v>3</v>
      </c>
      <c r="G26" s="8" t="s">
        <v>23</v>
      </c>
      <c r="H26" s="6" t="s">
        <v>144</v>
      </c>
      <c r="I26" s="7" t="s">
        <v>25</v>
      </c>
      <c r="J26" s="6" t="s">
        <v>145</v>
      </c>
      <c r="K26" s="7" t="s">
        <v>140</v>
      </c>
      <c r="L26" s="9">
        <v>46284</v>
      </c>
      <c r="M26" s="11">
        <v>46279</v>
      </c>
      <c r="N26" s="11">
        <v>46281</v>
      </c>
      <c r="O26" s="12">
        <v>3.5</v>
      </c>
      <c r="P26" s="7">
        <v>1</v>
      </c>
    </row>
    <row r="27" spans="1:16" ht="51.75" customHeight="1">
      <c r="A27" s="5">
        <v>3</v>
      </c>
      <c r="B27" s="5" t="s">
        <v>134</v>
      </c>
      <c r="C27" s="5" t="s">
        <v>146</v>
      </c>
      <c r="D27" s="6" t="s">
        <v>147</v>
      </c>
      <c r="E27" s="26" t="s">
        <v>78</v>
      </c>
      <c r="F27" s="7">
        <v>3</v>
      </c>
      <c r="G27" s="8" t="s">
        <v>23</v>
      </c>
      <c r="H27" s="6" t="s">
        <v>148</v>
      </c>
      <c r="I27" s="7" t="s">
        <v>25</v>
      </c>
      <c r="J27" s="6" t="s">
        <v>149</v>
      </c>
      <c r="K27" s="7" t="s">
        <v>27</v>
      </c>
      <c r="L27" s="9">
        <v>46299</v>
      </c>
      <c r="M27" s="11">
        <v>46280</v>
      </c>
      <c r="N27" s="11">
        <v>46299</v>
      </c>
      <c r="O27" s="12">
        <v>3.5</v>
      </c>
      <c r="P27" s="7">
        <v>3</v>
      </c>
    </row>
    <row r="28" spans="1:16" ht="51.75" customHeight="1">
      <c r="A28" s="5">
        <v>3</v>
      </c>
      <c r="B28" s="5" t="s">
        <v>134</v>
      </c>
      <c r="C28" s="5" t="s">
        <v>150</v>
      </c>
      <c r="D28" s="6" t="s">
        <v>151</v>
      </c>
      <c r="E28" s="26" t="s">
        <v>61</v>
      </c>
      <c r="F28" s="7">
        <v>2</v>
      </c>
      <c r="G28" s="8" t="s">
        <v>23</v>
      </c>
      <c r="H28" s="6" t="s">
        <v>152</v>
      </c>
      <c r="I28" s="7" t="s">
        <v>25</v>
      </c>
      <c r="J28" s="6" t="s">
        <v>153</v>
      </c>
      <c r="K28" s="7" t="s">
        <v>27</v>
      </c>
      <c r="L28" s="11">
        <v>46299</v>
      </c>
      <c r="M28" s="11">
        <v>46298</v>
      </c>
      <c r="N28" s="11">
        <v>46299</v>
      </c>
      <c r="O28" s="12">
        <v>2</v>
      </c>
      <c r="P28" s="7">
        <v>4</v>
      </c>
    </row>
    <row r="29" spans="1:16" ht="51.75" customHeight="1">
      <c r="A29" s="5">
        <v>3</v>
      </c>
      <c r="B29" s="5" t="s">
        <v>134</v>
      </c>
      <c r="C29" s="5" t="s">
        <v>154</v>
      </c>
      <c r="D29" s="6" t="s">
        <v>155</v>
      </c>
      <c r="E29" s="26" t="s">
        <v>78</v>
      </c>
      <c r="F29" s="7">
        <v>1</v>
      </c>
      <c r="G29" s="8" t="s">
        <v>23</v>
      </c>
      <c r="H29" s="6" t="s">
        <v>156</v>
      </c>
      <c r="I29" s="7" t="s">
        <v>25</v>
      </c>
      <c r="J29" s="6" t="s">
        <v>157</v>
      </c>
      <c r="K29" s="7" t="s">
        <v>27</v>
      </c>
      <c r="L29" s="11">
        <v>46299</v>
      </c>
      <c r="M29" s="11">
        <v>46298</v>
      </c>
      <c r="N29" s="11">
        <v>46299</v>
      </c>
      <c r="O29" s="12">
        <v>2</v>
      </c>
      <c r="P29" s="7">
        <v>4</v>
      </c>
    </row>
    <row r="30" spans="1:16" ht="51.75" customHeight="1">
      <c r="A30" s="5">
        <v>3</v>
      </c>
      <c r="B30" s="5" t="s">
        <v>158</v>
      </c>
      <c r="C30" s="5" t="s">
        <v>159</v>
      </c>
      <c r="D30" s="6" t="s">
        <v>160</v>
      </c>
      <c r="E30" s="26" t="s">
        <v>143</v>
      </c>
      <c r="F30" s="7">
        <v>3</v>
      </c>
      <c r="G30" s="8" t="s">
        <v>23</v>
      </c>
      <c r="H30" s="6" t="s">
        <v>161</v>
      </c>
      <c r="I30" s="7" t="s">
        <v>116</v>
      </c>
      <c r="J30" s="6" t="s">
        <v>162</v>
      </c>
      <c r="K30" s="7" t="s">
        <v>163</v>
      </c>
      <c r="L30" s="11">
        <v>46299</v>
      </c>
      <c r="M30" s="11">
        <v>46298</v>
      </c>
      <c r="N30" s="11">
        <v>46299</v>
      </c>
      <c r="O30" s="12">
        <v>4</v>
      </c>
      <c r="P30" s="7">
        <v>4</v>
      </c>
    </row>
    <row r="31" spans="1:16" ht="51.75" customHeight="1">
      <c r="A31" s="5">
        <v>3</v>
      </c>
      <c r="B31" s="5" t="s">
        <v>158</v>
      </c>
      <c r="C31" s="5" t="s">
        <v>164</v>
      </c>
      <c r="D31" s="6" t="s">
        <v>165</v>
      </c>
      <c r="E31" s="26" t="s">
        <v>143</v>
      </c>
      <c r="F31" s="7">
        <v>3</v>
      </c>
      <c r="G31" s="8" t="s">
        <v>23</v>
      </c>
      <c r="H31" s="6" t="s">
        <v>166</v>
      </c>
      <c r="I31" s="7" t="s">
        <v>52</v>
      </c>
      <c r="J31" s="6" t="s">
        <v>167</v>
      </c>
      <c r="K31" s="7" t="s">
        <v>163</v>
      </c>
      <c r="L31" s="11">
        <v>46299</v>
      </c>
      <c r="M31" s="11">
        <v>46298</v>
      </c>
      <c r="N31" s="11">
        <v>46299</v>
      </c>
      <c r="O31" s="12">
        <v>3.5</v>
      </c>
      <c r="P31" s="7">
        <v>4</v>
      </c>
    </row>
    <row r="32" spans="1:16" ht="51.75" customHeight="1">
      <c r="A32" s="5">
        <v>3</v>
      </c>
      <c r="B32" s="5" t="s">
        <v>158</v>
      </c>
      <c r="C32" s="5" t="s">
        <v>168</v>
      </c>
      <c r="D32" s="6" t="s">
        <v>169</v>
      </c>
      <c r="E32" s="26" t="s">
        <v>50</v>
      </c>
      <c r="F32" s="7">
        <v>3</v>
      </c>
      <c r="G32" s="8" t="s">
        <v>23</v>
      </c>
      <c r="H32" s="6" t="s">
        <v>170</v>
      </c>
      <c r="I32" s="7" t="s">
        <v>57</v>
      </c>
      <c r="J32" s="6" t="s">
        <v>171</v>
      </c>
      <c r="K32" s="7" t="s">
        <v>163</v>
      </c>
      <c r="L32" s="11">
        <v>46299</v>
      </c>
      <c r="M32" s="11">
        <v>46298</v>
      </c>
      <c r="N32" s="11">
        <v>46299</v>
      </c>
      <c r="O32" s="12">
        <v>4</v>
      </c>
      <c r="P32" s="7">
        <v>4</v>
      </c>
    </row>
    <row r="33" spans="1:16" ht="51.75" customHeight="1">
      <c r="A33" s="5">
        <v>3</v>
      </c>
      <c r="B33" s="5" t="s">
        <v>158</v>
      </c>
      <c r="C33" s="5" t="s">
        <v>172</v>
      </c>
      <c r="D33" s="6" t="s">
        <v>173</v>
      </c>
      <c r="E33" s="26" t="s">
        <v>78</v>
      </c>
      <c r="F33" s="7">
        <v>4</v>
      </c>
      <c r="G33" s="8" t="s">
        <v>23</v>
      </c>
      <c r="H33" s="6" t="s">
        <v>174</v>
      </c>
      <c r="I33" s="7" t="s">
        <v>88</v>
      </c>
      <c r="J33" s="6" t="s">
        <v>175</v>
      </c>
      <c r="K33" s="7" t="s">
        <v>163</v>
      </c>
      <c r="L33" s="11">
        <v>46299</v>
      </c>
      <c r="M33" s="11">
        <v>46298</v>
      </c>
      <c r="N33" s="11">
        <v>46299</v>
      </c>
      <c r="O33" s="12">
        <v>4.5</v>
      </c>
      <c r="P33" s="7">
        <v>4</v>
      </c>
    </row>
    <row r="34" spans="1:16" ht="51.75" customHeight="1">
      <c r="A34" s="5">
        <v>3</v>
      </c>
      <c r="B34" s="5" t="s">
        <v>158</v>
      </c>
      <c r="C34" s="5" t="s">
        <v>176</v>
      </c>
      <c r="D34" s="6" t="s">
        <v>177</v>
      </c>
      <c r="E34" s="26" t="s">
        <v>143</v>
      </c>
      <c r="F34" s="7">
        <v>2</v>
      </c>
      <c r="G34" s="8" t="s">
        <v>23</v>
      </c>
      <c r="H34" s="6" t="s">
        <v>178</v>
      </c>
      <c r="I34" s="7" t="s">
        <v>25</v>
      </c>
      <c r="J34" s="6" t="s">
        <v>179</v>
      </c>
      <c r="K34" s="7" t="s">
        <v>27</v>
      </c>
      <c r="L34" s="11">
        <v>46299</v>
      </c>
      <c r="M34" s="11">
        <v>46298</v>
      </c>
      <c r="N34" s="11">
        <v>46299</v>
      </c>
      <c r="O34" s="12">
        <v>2</v>
      </c>
      <c r="P34" s="7">
        <v>4</v>
      </c>
    </row>
    <row r="35" spans="1:16" ht="51.75" customHeight="1">
      <c r="A35" s="5">
        <v>3</v>
      </c>
      <c r="B35" s="5" t="s">
        <v>180</v>
      </c>
      <c r="C35" s="5" t="s">
        <v>181</v>
      </c>
      <c r="D35" s="6" t="s">
        <v>182</v>
      </c>
      <c r="E35" s="26" t="s">
        <v>22</v>
      </c>
      <c r="F35" s="7">
        <v>4</v>
      </c>
      <c r="G35" s="8" t="s">
        <v>23</v>
      </c>
      <c r="H35" s="6" t="s">
        <v>183</v>
      </c>
      <c r="I35" s="7" t="s">
        <v>25</v>
      </c>
      <c r="J35" s="6" t="s">
        <v>184</v>
      </c>
      <c r="K35" s="7" t="s">
        <v>27</v>
      </c>
      <c r="L35" s="11">
        <v>46299</v>
      </c>
      <c r="M35" s="11">
        <v>46298</v>
      </c>
      <c r="N35" s="11">
        <v>46299</v>
      </c>
      <c r="O35" s="12">
        <v>4</v>
      </c>
      <c r="P35" s="7">
        <v>4</v>
      </c>
    </row>
    <row r="36" spans="1:16" ht="51.75" customHeight="1">
      <c r="A36" s="5">
        <v>3</v>
      </c>
      <c r="B36" s="5" t="s">
        <v>180</v>
      </c>
      <c r="C36" s="5" t="s">
        <v>185</v>
      </c>
      <c r="D36" s="6" t="s">
        <v>186</v>
      </c>
      <c r="E36" s="26" t="s">
        <v>22</v>
      </c>
      <c r="F36" s="7">
        <v>2</v>
      </c>
      <c r="G36" s="8" t="s">
        <v>23</v>
      </c>
      <c r="H36" s="6" t="s">
        <v>187</v>
      </c>
      <c r="I36" s="7" t="s">
        <v>25</v>
      </c>
      <c r="J36" s="6" t="s">
        <v>188</v>
      </c>
      <c r="K36" s="7" t="s">
        <v>27</v>
      </c>
      <c r="L36" s="11">
        <v>46299</v>
      </c>
      <c r="M36" s="11">
        <v>46298</v>
      </c>
      <c r="N36" s="11">
        <v>46299</v>
      </c>
      <c r="O36" s="12">
        <v>2.5</v>
      </c>
      <c r="P36" s="7">
        <v>4</v>
      </c>
    </row>
    <row r="37" spans="1:16" ht="51.75" customHeight="1">
      <c r="A37" s="5">
        <v>3</v>
      </c>
      <c r="B37" s="5" t="s">
        <v>180</v>
      </c>
      <c r="C37" s="5" t="s">
        <v>189</v>
      </c>
      <c r="D37" s="6" t="s">
        <v>190</v>
      </c>
      <c r="E37" s="26" t="s">
        <v>22</v>
      </c>
      <c r="F37" s="7">
        <v>1</v>
      </c>
      <c r="G37" s="8" t="s">
        <v>23</v>
      </c>
      <c r="H37" s="6" t="s">
        <v>191</v>
      </c>
      <c r="I37" s="7" t="s">
        <v>25</v>
      </c>
      <c r="J37" s="6" t="s">
        <v>192</v>
      </c>
      <c r="K37" s="7" t="s">
        <v>27</v>
      </c>
      <c r="L37" s="11">
        <v>46299</v>
      </c>
      <c r="M37" s="11">
        <v>46298</v>
      </c>
      <c r="N37" s="11">
        <v>46299</v>
      </c>
      <c r="O37" s="12">
        <v>2</v>
      </c>
      <c r="P37" s="7">
        <v>4</v>
      </c>
    </row>
    <row r="38" spans="1:16" ht="51.75" customHeight="1">
      <c r="A38" s="5">
        <v>3</v>
      </c>
      <c r="B38" s="5" t="s">
        <v>180</v>
      </c>
      <c r="C38" s="5" t="s">
        <v>193</v>
      </c>
      <c r="D38" s="6" t="s">
        <v>194</v>
      </c>
      <c r="E38" s="26" t="s">
        <v>61</v>
      </c>
      <c r="F38" s="7">
        <v>2</v>
      </c>
      <c r="G38" s="8" t="s">
        <v>23</v>
      </c>
      <c r="H38" s="6" t="s">
        <v>195</v>
      </c>
      <c r="I38" s="7" t="s">
        <v>25</v>
      </c>
      <c r="J38" s="6" t="s">
        <v>196</v>
      </c>
      <c r="K38" s="7" t="s">
        <v>197</v>
      </c>
      <c r="L38" s="11">
        <v>46299</v>
      </c>
      <c r="M38" s="11">
        <v>46298</v>
      </c>
      <c r="N38" s="11">
        <v>46299</v>
      </c>
      <c r="O38" s="12">
        <v>2</v>
      </c>
      <c r="P38" s="7">
        <v>4</v>
      </c>
    </row>
    <row r="39" spans="1:16" ht="51.75" customHeight="1">
      <c r="A39" s="5">
        <v>3</v>
      </c>
      <c r="B39" s="5" t="s">
        <v>180</v>
      </c>
      <c r="C39" s="5" t="s">
        <v>198</v>
      </c>
      <c r="D39" s="6" t="s">
        <v>199</v>
      </c>
      <c r="E39" s="26" t="s">
        <v>22</v>
      </c>
      <c r="F39" s="7">
        <v>3</v>
      </c>
      <c r="G39" s="8" t="s">
        <v>23</v>
      </c>
      <c r="H39" s="6" t="s">
        <v>200</v>
      </c>
      <c r="I39" s="7" t="s">
        <v>25</v>
      </c>
      <c r="J39" s="6" t="s">
        <v>201</v>
      </c>
      <c r="K39" s="7" t="s">
        <v>202</v>
      </c>
      <c r="L39" s="11">
        <v>46299</v>
      </c>
      <c r="M39" s="11">
        <v>46298</v>
      </c>
      <c r="N39" s="11">
        <v>46299</v>
      </c>
      <c r="O39" s="12">
        <v>2.5</v>
      </c>
      <c r="P39" s="7">
        <v>4</v>
      </c>
    </row>
    <row r="40" spans="1:16" ht="51.75" customHeight="1">
      <c r="A40" s="5">
        <v>3</v>
      </c>
      <c r="B40" s="5" t="s">
        <v>180</v>
      </c>
      <c r="C40" s="5" t="s">
        <v>203</v>
      </c>
      <c r="D40" s="6" t="s">
        <v>204</v>
      </c>
      <c r="E40" s="26" t="s">
        <v>143</v>
      </c>
      <c r="F40" s="7">
        <v>1</v>
      </c>
      <c r="G40" s="8" t="s">
        <v>23</v>
      </c>
      <c r="H40" s="6" t="s">
        <v>205</v>
      </c>
      <c r="I40" s="7" t="s">
        <v>25</v>
      </c>
      <c r="J40" s="6" t="s">
        <v>206</v>
      </c>
      <c r="K40" s="7" t="s">
        <v>207</v>
      </c>
      <c r="L40" s="11">
        <v>46299</v>
      </c>
      <c r="M40" s="11">
        <v>46298</v>
      </c>
      <c r="N40" s="11">
        <v>46299</v>
      </c>
      <c r="O40" s="12">
        <v>1</v>
      </c>
      <c r="P40" s="7">
        <v>4</v>
      </c>
    </row>
    <row r="41" spans="1:16" ht="51.75" customHeight="1">
      <c r="A41" s="5">
        <v>3</v>
      </c>
      <c r="B41" s="5" t="s">
        <v>180</v>
      </c>
      <c r="C41" s="5" t="s">
        <v>208</v>
      </c>
      <c r="D41" s="6" t="s">
        <v>209</v>
      </c>
      <c r="E41" s="26" t="s">
        <v>43</v>
      </c>
      <c r="F41" s="7">
        <v>1</v>
      </c>
      <c r="G41" s="8" t="s">
        <v>23</v>
      </c>
      <c r="H41" s="6" t="s">
        <v>210</v>
      </c>
      <c r="I41" s="7" t="s">
        <v>25</v>
      </c>
      <c r="J41" s="6" t="s">
        <v>211</v>
      </c>
      <c r="K41" s="7" t="s">
        <v>212</v>
      </c>
      <c r="L41" s="11">
        <v>46299</v>
      </c>
      <c r="M41" s="11">
        <v>46298</v>
      </c>
      <c r="N41" s="11">
        <v>46299</v>
      </c>
      <c r="O41" s="12">
        <v>1</v>
      </c>
      <c r="P41" s="7">
        <v>4</v>
      </c>
    </row>
    <row r="42" spans="1:16" ht="51.75" customHeight="1">
      <c r="A42" s="5">
        <v>3</v>
      </c>
      <c r="B42" s="5" t="s">
        <v>180</v>
      </c>
      <c r="C42" s="5" t="s">
        <v>213</v>
      </c>
      <c r="D42" s="6" t="s">
        <v>214</v>
      </c>
      <c r="E42" s="26" t="s">
        <v>143</v>
      </c>
      <c r="F42" s="7">
        <v>1</v>
      </c>
      <c r="G42" s="8" t="s">
        <v>23</v>
      </c>
      <c r="H42" s="6" t="s">
        <v>215</v>
      </c>
      <c r="I42" s="7" t="s">
        <v>25</v>
      </c>
      <c r="J42" s="6" t="s">
        <v>216</v>
      </c>
      <c r="K42" s="7" t="s">
        <v>217</v>
      </c>
      <c r="L42" s="11">
        <v>46299</v>
      </c>
      <c r="M42" s="11">
        <v>46298</v>
      </c>
      <c r="N42" s="11">
        <v>46299</v>
      </c>
      <c r="O42" s="12">
        <v>1.5</v>
      </c>
      <c r="P42" s="7">
        <v>4</v>
      </c>
    </row>
    <row r="43" spans="1:16" ht="51.75" customHeight="1">
      <c r="A43" s="5">
        <v>3</v>
      </c>
      <c r="B43" s="5" t="s">
        <v>180</v>
      </c>
      <c r="C43" s="5" t="s">
        <v>218</v>
      </c>
      <c r="D43" s="6" t="s">
        <v>219</v>
      </c>
      <c r="E43" s="26" t="s">
        <v>143</v>
      </c>
      <c r="F43" s="7">
        <v>1</v>
      </c>
      <c r="G43" s="8" t="s">
        <v>23</v>
      </c>
      <c r="H43" s="6" t="s">
        <v>220</v>
      </c>
      <c r="I43" s="7" t="s">
        <v>25</v>
      </c>
      <c r="J43" s="6" t="s">
        <v>221</v>
      </c>
      <c r="K43" s="7" t="s">
        <v>197</v>
      </c>
      <c r="L43" s="11">
        <v>46299</v>
      </c>
      <c r="M43" s="11">
        <v>46298</v>
      </c>
      <c r="N43" s="11">
        <v>46299</v>
      </c>
      <c r="O43" s="12">
        <v>1.5</v>
      </c>
      <c r="P43" s="7">
        <v>4</v>
      </c>
    </row>
    <row r="44" spans="1:16" ht="51.75" customHeight="1">
      <c r="A44" s="5">
        <v>3</v>
      </c>
      <c r="B44" s="5" t="s">
        <v>222</v>
      </c>
      <c r="C44" s="5" t="s">
        <v>223</v>
      </c>
      <c r="D44" s="6" t="s">
        <v>224</v>
      </c>
      <c r="E44" s="26" t="s">
        <v>78</v>
      </c>
      <c r="F44" s="7">
        <v>1</v>
      </c>
      <c r="G44" s="8" t="s">
        <v>23</v>
      </c>
      <c r="H44" s="6" t="s">
        <v>225</v>
      </c>
      <c r="I44" s="7" t="s">
        <v>25</v>
      </c>
      <c r="J44" s="6" t="s">
        <v>226</v>
      </c>
      <c r="K44" s="7" t="s">
        <v>27</v>
      </c>
      <c r="L44" s="11">
        <v>46283</v>
      </c>
      <c r="M44" s="11">
        <v>46283</v>
      </c>
      <c r="N44" s="11">
        <v>46283</v>
      </c>
      <c r="O44" s="12">
        <v>1</v>
      </c>
      <c r="P44" s="7">
        <v>1</v>
      </c>
    </row>
    <row r="45" spans="1:16" ht="53.25" customHeight="1">
      <c r="A45" s="5">
        <v>3</v>
      </c>
      <c r="B45" s="5" t="s">
        <v>222</v>
      </c>
      <c r="C45" s="5" t="s">
        <v>227</v>
      </c>
      <c r="D45" s="6" t="s">
        <v>228</v>
      </c>
      <c r="E45" s="26" t="s">
        <v>43</v>
      </c>
      <c r="F45" s="7">
        <v>1</v>
      </c>
      <c r="G45" s="8" t="s">
        <v>23</v>
      </c>
      <c r="H45" s="6" t="s">
        <v>229</v>
      </c>
      <c r="I45" s="7" t="s">
        <v>25</v>
      </c>
      <c r="J45" s="6" t="s">
        <v>230</v>
      </c>
      <c r="K45" s="7" t="s">
        <v>27</v>
      </c>
      <c r="L45" s="11">
        <v>46280</v>
      </c>
      <c r="M45" s="11">
        <v>46280</v>
      </c>
      <c r="N45" s="11">
        <v>46280</v>
      </c>
      <c r="O45" s="12">
        <v>1</v>
      </c>
      <c r="P45" s="7">
        <v>2</v>
      </c>
    </row>
    <row r="46" spans="1:16" ht="75.75" customHeight="1">
      <c r="A46" s="5">
        <v>3</v>
      </c>
      <c r="B46" s="5" t="s">
        <v>222</v>
      </c>
      <c r="C46" s="5" t="s">
        <v>231</v>
      </c>
      <c r="D46" s="6" t="s">
        <v>232</v>
      </c>
      <c r="E46" s="26" t="s">
        <v>78</v>
      </c>
      <c r="F46" s="7">
        <v>3</v>
      </c>
      <c r="G46" s="8" t="s">
        <v>23</v>
      </c>
      <c r="H46" s="6" t="s">
        <v>233</v>
      </c>
      <c r="I46" s="7" t="s">
        <v>138</v>
      </c>
      <c r="J46" s="6" t="s">
        <v>234</v>
      </c>
      <c r="K46" s="7" t="s">
        <v>27</v>
      </c>
      <c r="L46" s="11">
        <v>46298</v>
      </c>
      <c r="M46" s="11">
        <v>46296</v>
      </c>
      <c r="N46" s="11">
        <v>46298</v>
      </c>
      <c r="O46" s="12">
        <v>4</v>
      </c>
      <c r="P46" s="7">
        <v>3</v>
      </c>
    </row>
    <row r="47" spans="1:16" ht="51.75" customHeight="1">
      <c r="A47" s="5">
        <v>3</v>
      </c>
      <c r="B47" s="5" t="s">
        <v>222</v>
      </c>
      <c r="C47" s="5" t="s">
        <v>235</v>
      </c>
      <c r="D47" s="6" t="s">
        <v>236</v>
      </c>
      <c r="E47" s="26" t="s">
        <v>43</v>
      </c>
      <c r="F47" s="7">
        <v>2</v>
      </c>
      <c r="G47" s="8" t="s">
        <v>23</v>
      </c>
      <c r="H47" s="6" t="s">
        <v>237</v>
      </c>
      <c r="I47" s="7" t="s">
        <v>25</v>
      </c>
      <c r="J47" s="6" t="s">
        <v>238</v>
      </c>
      <c r="K47" s="7" t="s">
        <v>27</v>
      </c>
      <c r="L47" s="11">
        <v>46299</v>
      </c>
      <c r="M47" s="11">
        <v>46298</v>
      </c>
      <c r="N47" s="11">
        <v>46299</v>
      </c>
      <c r="O47" s="12">
        <v>2.5</v>
      </c>
      <c r="P47" s="7">
        <v>4</v>
      </c>
    </row>
    <row r="48" spans="1:16" ht="51.75" customHeight="1">
      <c r="A48" s="5">
        <v>3</v>
      </c>
      <c r="B48" s="5" t="s">
        <v>222</v>
      </c>
      <c r="C48" s="5" t="s">
        <v>239</v>
      </c>
      <c r="D48" s="6" t="s">
        <v>240</v>
      </c>
      <c r="E48" s="26" t="s">
        <v>143</v>
      </c>
      <c r="F48" s="7">
        <v>1</v>
      </c>
      <c r="G48" s="8" t="s">
        <v>23</v>
      </c>
      <c r="H48" s="6" t="s">
        <v>241</v>
      </c>
      <c r="I48" s="7" t="s">
        <v>25</v>
      </c>
      <c r="J48" s="6" t="s">
        <v>242</v>
      </c>
      <c r="K48" s="7" t="s">
        <v>243</v>
      </c>
      <c r="L48" s="11">
        <v>46299</v>
      </c>
      <c r="M48" s="11">
        <v>46298</v>
      </c>
      <c r="N48" s="11">
        <v>46299</v>
      </c>
      <c r="O48" s="12">
        <v>1.5</v>
      </c>
      <c r="P48" s="7">
        <v>4</v>
      </c>
    </row>
    <row r="49" spans="1:16" ht="51.75" customHeight="1">
      <c r="A49" s="5">
        <v>3</v>
      </c>
      <c r="B49" s="5" t="s">
        <v>222</v>
      </c>
      <c r="C49" s="5" t="s">
        <v>244</v>
      </c>
      <c r="D49" s="6" t="s">
        <v>245</v>
      </c>
      <c r="E49" s="26" t="s">
        <v>22</v>
      </c>
      <c r="F49" s="7">
        <v>0.5</v>
      </c>
      <c r="G49" s="8" t="s">
        <v>23</v>
      </c>
      <c r="H49" s="6" t="s">
        <v>246</v>
      </c>
      <c r="I49" s="7" t="s">
        <v>25</v>
      </c>
      <c r="J49" s="6" t="s">
        <v>247</v>
      </c>
      <c r="K49" s="7" t="s">
        <v>248</v>
      </c>
      <c r="L49" s="11">
        <v>46299</v>
      </c>
      <c r="M49" s="11">
        <v>46298</v>
      </c>
      <c r="N49" s="11">
        <v>46299</v>
      </c>
      <c r="O49" s="12">
        <v>0.5</v>
      </c>
      <c r="P49" s="7">
        <v>4</v>
      </c>
    </row>
    <row r="51" spans="1:16" ht="21.75" customHeight="1">
      <c r="A51" s="29" t="s">
        <v>249</v>
      </c>
      <c r="B51" s="29"/>
      <c r="C51" s="29"/>
    </row>
    <row r="52" spans="1:16" ht="27.75" customHeight="1">
      <c r="A52" s="1" t="s">
        <v>250</v>
      </c>
      <c r="B52" s="1" t="s">
        <v>251</v>
      </c>
      <c r="C52" s="1" t="s">
        <v>252</v>
      </c>
    </row>
    <row r="53" spans="1:16" ht="18" customHeight="1">
      <c r="A53" s="13" t="s">
        <v>22</v>
      </c>
      <c r="B53" s="13">
        <f>COUNTIF($E$3:$E$49,A53)</f>
        <v>8</v>
      </c>
      <c r="C53" s="13">
        <f>SUMIF($E$3:$E$49,A53,$F$3:$F$49)</f>
        <v>14.5</v>
      </c>
    </row>
    <row r="54" spans="1:16" ht="18" customHeight="1">
      <c r="A54" s="13" t="s">
        <v>78</v>
      </c>
      <c r="B54" s="13">
        <f>COUNTIF($E$3:$E$49,A54)</f>
        <v>7</v>
      </c>
      <c r="C54" s="13">
        <f>SUMIF($E$3:$E$49,A54,$F$3:$F$49)</f>
        <v>17</v>
      </c>
    </row>
    <row r="55" spans="1:16" ht="18" customHeight="1">
      <c r="A55" s="13" t="s">
        <v>143</v>
      </c>
      <c r="B55" s="13">
        <f>COUNTIF($E$3:$E$49,A55)</f>
        <v>8</v>
      </c>
      <c r="C55" s="13">
        <f>SUMIF($E$3:$E$49,A55,$F$3:$F$49)</f>
        <v>15</v>
      </c>
    </row>
    <row r="56" spans="1:16" ht="18" customHeight="1">
      <c r="A56" s="13" t="s">
        <v>50</v>
      </c>
      <c r="B56" s="13">
        <f>COUNTIF($E$3:$E$49,A56)</f>
        <v>6</v>
      </c>
      <c r="C56" s="13">
        <f>SUMIF($E$3:$E$49,A56,$F$3:$F$49)</f>
        <v>16</v>
      </c>
    </row>
    <row r="57" spans="1:16" ht="18" customHeight="1">
      <c r="A57" s="13" t="s">
        <v>36</v>
      </c>
      <c r="B57" s="13">
        <f>COUNTIF($E$3:$E$49,A57)</f>
        <v>6</v>
      </c>
      <c r="C57" s="13">
        <f>SUMIF($E$3:$E$49,A57,$F$3:$F$49)</f>
        <v>18</v>
      </c>
    </row>
    <row r="58" spans="1:16" ht="18" customHeight="1">
      <c r="A58" s="13" t="s">
        <v>61</v>
      </c>
      <c r="B58" s="13">
        <f>COUNTIF($E$3:$E$49,A58)</f>
        <v>5</v>
      </c>
      <c r="C58" s="13">
        <f>SUMIF($E$3:$E$49,A58,$F$3:$F$49)</f>
        <v>14</v>
      </c>
    </row>
    <row r="59" spans="1:16" ht="18" customHeight="1">
      <c r="A59" s="13" t="s">
        <v>43</v>
      </c>
      <c r="B59" s="13">
        <f>COUNTIF($E$3:$E$49,A59)</f>
        <v>7</v>
      </c>
      <c r="C59" s="13">
        <f>SUMIF($E$3:$E$49,A59,$F$3:$F$49)</f>
        <v>16</v>
      </c>
    </row>
    <row r="60" spans="1:16" ht="18" customHeight="1">
      <c r="A60" s="14" t="s">
        <v>253</v>
      </c>
      <c r="B60" s="14">
        <f>SUM(B53:B59)</f>
        <v>47</v>
      </c>
      <c r="C60" s="14">
        <f>SUM(C53:C59)</f>
        <v>110.5</v>
      </c>
    </row>
    <row r="62" spans="1:16" ht="21.75" customHeight="1">
      <c r="A62" s="29" t="s">
        <v>254</v>
      </c>
      <c r="B62" s="29"/>
      <c r="C62" s="29"/>
      <c r="D62" s="29"/>
      <c r="E62" s="29"/>
      <c r="F62" s="29"/>
    </row>
    <row r="63" spans="1:16" ht="27.75" customHeight="1">
      <c r="A63" s="1" t="s">
        <v>250</v>
      </c>
      <c r="B63" s="1" t="s">
        <v>255</v>
      </c>
      <c r="C63" s="1" t="s">
        <v>256</v>
      </c>
      <c r="D63" s="1" t="s">
        <v>257</v>
      </c>
      <c r="E63" s="1" t="s">
        <v>258</v>
      </c>
      <c r="F63" s="1" t="s">
        <v>259</v>
      </c>
    </row>
    <row r="64" spans="1:16" ht="18" customHeight="1">
      <c r="A64" s="13" t="s">
        <v>22</v>
      </c>
      <c r="B64" s="13">
        <f>SUMIFS($F$3:$F$49,$E$3:$E$49,A64,$P$3:$P$49,1)</f>
        <v>4</v>
      </c>
      <c r="C64" s="13">
        <f>SUMIFS($F$3:$F$49,$E$3:$E$49,A64,$P$3:$P$49,2)</f>
        <v>0</v>
      </c>
      <c r="D64" s="13">
        <f>SUMIFS($F$3:$F$49,$E$3:$E$49,A64,$P$3:$P$49,3)</f>
        <v>0</v>
      </c>
      <c r="E64" s="13">
        <f>SUMIFS($F$3:$F$49,$E$3:$E$49,A64,$P$3:$P$49,4)</f>
        <v>10.5</v>
      </c>
      <c r="F64" s="14">
        <f>SUM(B64:E64)</f>
        <v>14.5</v>
      </c>
    </row>
    <row r="65" spans="1:12" ht="18" customHeight="1">
      <c r="A65" s="13" t="s">
        <v>78</v>
      </c>
      <c r="B65" s="13">
        <f>SUMIFS($F$3:$F$49,$E$3:$E$49,A65,$P$3:$P$49,1)</f>
        <v>1</v>
      </c>
      <c r="C65" s="13">
        <f>SUMIFS($F$3:$F$49,$E$3:$E$49,A65,$P$3:$P$49,2)</f>
        <v>3</v>
      </c>
      <c r="D65" s="13">
        <f>SUMIFS($F$3:$F$49,$E$3:$E$49,A65,$P$3:$P$49,3)</f>
        <v>8</v>
      </c>
      <c r="E65" s="13">
        <f>SUMIFS($F$3:$F$49,$E$3:$E$49,A65,$P$3:$P$49,4)</f>
        <v>5</v>
      </c>
      <c r="F65" s="14">
        <f>SUM(B65:E65)</f>
        <v>17</v>
      </c>
    </row>
    <row r="66" spans="1:12" ht="18" customHeight="1">
      <c r="A66" s="13" t="s">
        <v>143</v>
      </c>
      <c r="B66" s="13">
        <f>SUMIFS($F$3:$F$49,$E$3:$E$49,A66,$P$3:$P$49,1)</f>
        <v>3</v>
      </c>
      <c r="C66" s="13">
        <f>SUMIFS($F$3:$F$49,$E$3:$E$49,A66,$P$3:$P$49,2)</f>
        <v>0</v>
      </c>
      <c r="D66" s="13">
        <f>SUMIFS($F$3:$F$49,$E$3:$E$49,A66,$P$3:$P$49,3)</f>
        <v>0</v>
      </c>
      <c r="E66" s="13">
        <f>SUMIFS($F$3:$F$49,$E$3:$E$49,A66,$P$3:$P$49,4)</f>
        <v>12</v>
      </c>
      <c r="F66" s="14">
        <f>SUM(B66:E66)</f>
        <v>15</v>
      </c>
    </row>
    <row r="67" spans="1:12" ht="18" customHeight="1">
      <c r="A67" s="13" t="s">
        <v>50</v>
      </c>
      <c r="B67" s="13">
        <f>SUMIFS($F$3:$F$49,$E$3:$E$49,A67,$P$3:$P$49,1)</f>
        <v>0</v>
      </c>
      <c r="C67" s="13">
        <f>SUMIFS($F$3:$F$49,$E$3:$E$49,A67,$P$3:$P$49,2)</f>
        <v>4</v>
      </c>
      <c r="D67" s="13">
        <f>SUMIFS($F$3:$F$49,$E$3:$E$49,A67,$P$3:$P$49,3)</f>
        <v>9</v>
      </c>
      <c r="E67" s="13">
        <f>SUMIFS($F$3:$F$49,$E$3:$E$49,A67,$P$3:$P$49,4)</f>
        <v>3</v>
      </c>
      <c r="F67" s="14">
        <f>SUM(B67:E67)</f>
        <v>16</v>
      </c>
    </row>
    <row r="68" spans="1:12" ht="18" customHeight="1">
      <c r="A68" s="13" t="s">
        <v>36</v>
      </c>
      <c r="B68" s="13">
        <f>SUMIFS($F$3:$F$49,$E$3:$E$49,A68,$P$3:$P$49,1)</f>
        <v>4</v>
      </c>
      <c r="C68" s="13">
        <f>SUMIFS($F$3:$F$49,$E$3:$E$49,A68,$P$3:$P$49,2)</f>
        <v>9</v>
      </c>
      <c r="D68" s="13">
        <f>SUMIFS($F$3:$F$49,$E$3:$E$49,A68,$P$3:$P$49,3)</f>
        <v>5</v>
      </c>
      <c r="E68" s="13">
        <f>SUMIFS($F$3:$F$49,$E$3:$E$49,A68,$P$3:$P$49,4)</f>
        <v>0</v>
      </c>
      <c r="F68" s="14">
        <f>SUM(B68:E68)</f>
        <v>18</v>
      </c>
    </row>
    <row r="69" spans="1:12" ht="18" customHeight="1">
      <c r="A69" s="13" t="s">
        <v>61</v>
      </c>
      <c r="B69" s="13">
        <f>SUMIFS($F$3:$F$49,$E$3:$E$49,A69,$P$3:$P$49,1)</f>
        <v>0</v>
      </c>
      <c r="C69" s="13">
        <f>SUMIFS($F$3:$F$49,$E$3:$E$49,A69,$P$3:$P$49,2)</f>
        <v>6</v>
      </c>
      <c r="D69" s="13">
        <f>SUMIFS($F$3:$F$49,$E$3:$E$49,A69,$P$3:$P$49,3)</f>
        <v>4</v>
      </c>
      <c r="E69" s="13">
        <f>SUMIFS($F$3:$F$49,$E$3:$E$49,A69,$P$3:$P$49,4)</f>
        <v>4</v>
      </c>
      <c r="F69" s="14">
        <f>SUM(B69:E69)</f>
        <v>14</v>
      </c>
    </row>
    <row r="70" spans="1:12" ht="18" customHeight="1">
      <c r="A70" s="13" t="s">
        <v>43</v>
      </c>
      <c r="B70" s="13">
        <f>SUMIFS($F$3:$F$49,$E$3:$E$49,A70,$P$3:$P$49,1)</f>
        <v>4</v>
      </c>
      <c r="C70" s="13">
        <f>SUMIFS($F$3:$F$49,$E$3:$E$49,A70,$P$3:$P$49,2)</f>
        <v>7</v>
      </c>
      <c r="D70" s="13">
        <f>SUMIFS($F$3:$F$49,$E$3:$E$49,A70,$P$3:$P$49,3)</f>
        <v>2</v>
      </c>
      <c r="E70" s="13">
        <f>SUMIFS($F$3:$F$49,$E$3:$E$49,A70,$P$3:$P$49,4)</f>
        <v>3</v>
      </c>
      <c r="F70" s="14">
        <f>SUM(B70:E70)</f>
        <v>16</v>
      </c>
    </row>
    <row r="71" spans="1:12" ht="18" customHeight="1">
      <c r="A71" s="14" t="s">
        <v>253</v>
      </c>
      <c r="B71" s="14">
        <f>SUM(B64:B70)</f>
        <v>16</v>
      </c>
      <c r="C71" s="14">
        <f>SUM(C64:C70)</f>
        <v>29</v>
      </c>
      <c r="D71" s="14">
        <f>SUM(D64:D70)</f>
        <v>28</v>
      </c>
      <c r="E71" s="14">
        <f>SUM(E64:E70)</f>
        <v>37.5</v>
      </c>
      <c r="F71" s="14">
        <f>SUM(F64:F70)</f>
        <v>110.5</v>
      </c>
    </row>
    <row r="73" spans="1:12">
      <c r="A73" s="15"/>
    </row>
    <row r="74" spans="1:12" ht="1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5" spans="1:12" ht="1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</row>
    <row r="76" spans="1:12" ht="1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</row>
  </sheetData>
  <mergeCells count="8">
    <mergeCell ref="A76:L76"/>
    <mergeCell ref="A1:H1"/>
    <mergeCell ref="I1:M1"/>
    <mergeCell ref="N1:P1"/>
    <mergeCell ref="A51:C51"/>
    <mergeCell ref="A62:F62"/>
    <mergeCell ref="A74:L74"/>
    <mergeCell ref="A75:L7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10" customWidth="1"/>
    <col min="2" max="2" width="28" customWidth="1"/>
    <col min="3" max="3" width="85" customWidth="1"/>
    <col min="4" max="4" width="28" customWidth="1"/>
  </cols>
  <sheetData>
    <row r="1" spans="1:4" ht="27.75" customHeight="1">
      <c r="A1" s="29" t="s">
        <v>260</v>
      </c>
      <c r="B1" s="29"/>
      <c r="C1" s="29"/>
      <c r="D1" s="29"/>
    </row>
    <row r="2" spans="1:4" ht="21.75" customHeight="1">
      <c r="A2" s="1" t="s">
        <v>261</v>
      </c>
      <c r="B2" s="1" t="s">
        <v>262</v>
      </c>
      <c r="C2" s="1" t="s">
        <v>263</v>
      </c>
      <c r="D2" s="1" t="s">
        <v>264</v>
      </c>
    </row>
    <row r="3" spans="1:4" ht="31.5" customHeight="1">
      <c r="A3" s="14" t="s">
        <v>38</v>
      </c>
      <c r="B3" s="16" t="s">
        <v>265</v>
      </c>
      <c r="C3" s="16" t="s">
        <v>266</v>
      </c>
      <c r="D3" s="13" t="s">
        <v>267</v>
      </c>
    </row>
    <row r="4" spans="1:4" ht="31.5" customHeight="1">
      <c r="A4" s="14" t="s">
        <v>45</v>
      </c>
      <c r="B4" s="16" t="s">
        <v>268</v>
      </c>
      <c r="C4" s="16" t="s">
        <v>269</v>
      </c>
      <c r="D4" s="13" t="s">
        <v>270</v>
      </c>
    </row>
    <row r="5" spans="1:4" ht="31.5" customHeight="1">
      <c r="A5" s="14" t="s">
        <v>52</v>
      </c>
      <c r="B5" s="16" t="s">
        <v>271</v>
      </c>
      <c r="C5" s="16" t="s">
        <v>272</v>
      </c>
      <c r="D5" s="13" t="s">
        <v>273</v>
      </c>
    </row>
    <row r="6" spans="1:4" ht="31.5" customHeight="1">
      <c r="A6" s="14" t="s">
        <v>274</v>
      </c>
      <c r="B6" s="16" t="s">
        <v>275</v>
      </c>
      <c r="C6" s="16" t="s">
        <v>276</v>
      </c>
      <c r="D6" s="13" t="s">
        <v>277</v>
      </c>
    </row>
    <row r="7" spans="1:4" ht="31.5" customHeight="1">
      <c r="A7" s="14" t="s">
        <v>278</v>
      </c>
      <c r="B7" s="16" t="s">
        <v>279</v>
      </c>
      <c r="C7" s="16" t="s">
        <v>280</v>
      </c>
      <c r="D7" s="13" t="s">
        <v>277</v>
      </c>
    </row>
    <row r="8" spans="1:4" ht="31.5" customHeight="1">
      <c r="A8" s="14" t="s">
        <v>281</v>
      </c>
      <c r="B8" s="16" t="s">
        <v>282</v>
      </c>
      <c r="C8" s="16" t="s">
        <v>283</v>
      </c>
      <c r="D8" s="13" t="s">
        <v>284</v>
      </c>
    </row>
    <row r="9" spans="1:4" ht="31.5" customHeight="1">
      <c r="A9" s="14" t="s">
        <v>285</v>
      </c>
      <c r="B9" s="16" t="s">
        <v>286</v>
      </c>
      <c r="C9" s="16" t="s">
        <v>287</v>
      </c>
      <c r="D9" s="13" t="s">
        <v>284</v>
      </c>
    </row>
    <row r="10" spans="1:4" ht="31.5" customHeight="1">
      <c r="A10" s="14" t="s">
        <v>288</v>
      </c>
      <c r="B10" s="16" t="s">
        <v>289</v>
      </c>
      <c r="C10" s="16" t="s">
        <v>290</v>
      </c>
      <c r="D10" s="13" t="s">
        <v>284</v>
      </c>
    </row>
    <row r="11" spans="1:4" ht="31.5" customHeight="1">
      <c r="A11" s="14" t="s">
        <v>291</v>
      </c>
      <c r="B11" s="16" t="s">
        <v>292</v>
      </c>
      <c r="C11" s="16" t="s">
        <v>293</v>
      </c>
      <c r="D11" s="13" t="s">
        <v>284</v>
      </c>
    </row>
    <row r="12" spans="1:4" ht="31.5" customHeight="1">
      <c r="A12" s="14" t="s">
        <v>68</v>
      </c>
      <c r="B12" s="16" t="s">
        <v>294</v>
      </c>
      <c r="C12" s="16" t="s">
        <v>295</v>
      </c>
      <c r="D12" s="13" t="s">
        <v>296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showGridLines="0" zoomScaleNormal="100" workbookViewId="0">
      <pane ySplit="2" topLeftCell="A3" activePane="bottomLeft" state="frozen"/>
      <selection pane="bottomLeft" activeCell="D5" sqref="D5"/>
    </sheetView>
  </sheetViews>
  <sheetFormatPr defaultColWidth="8.7109375" defaultRowHeight="15"/>
  <cols>
    <col min="1" max="1" width="55" customWidth="1"/>
    <col min="2" max="3" width="24" customWidth="1"/>
    <col min="4" max="4" width="14" customWidth="1"/>
  </cols>
  <sheetData>
    <row r="1" spans="1:4" ht="27.75" customHeight="1">
      <c r="A1" s="29" t="s">
        <v>297</v>
      </c>
      <c r="B1" s="29"/>
      <c r="C1" s="29"/>
      <c r="D1" s="29"/>
    </row>
    <row r="2" spans="1:4">
      <c r="A2" s="17" t="s">
        <v>298</v>
      </c>
      <c r="B2" s="17" t="s">
        <v>299</v>
      </c>
      <c r="C2" s="17" t="s">
        <v>300</v>
      </c>
      <c r="D2" s="17" t="s">
        <v>301</v>
      </c>
    </row>
    <row r="3" spans="1:4" ht="27.75" customHeight="1">
      <c r="A3" s="16" t="s">
        <v>302</v>
      </c>
      <c r="B3" s="13"/>
      <c r="C3" s="13"/>
      <c r="D3" s="18" t="s">
        <v>303</v>
      </c>
    </row>
    <row r="4" spans="1:4" ht="27.75" customHeight="1">
      <c r="A4" s="16" t="s">
        <v>304</v>
      </c>
      <c r="B4" s="13"/>
      <c r="C4" s="13"/>
      <c r="D4" s="18" t="s">
        <v>303</v>
      </c>
    </row>
    <row r="5" spans="1:4" ht="27.75" customHeight="1">
      <c r="A5" s="16" t="s">
        <v>305</v>
      </c>
      <c r="B5" s="13" t="s">
        <v>306</v>
      </c>
      <c r="C5" s="13"/>
      <c r="D5" s="8" t="s">
        <v>23</v>
      </c>
    </row>
    <row r="6" spans="1:4" ht="27.75" customHeight="1">
      <c r="A6" s="16" t="s">
        <v>307</v>
      </c>
      <c r="B6" s="13"/>
      <c r="C6" s="13"/>
      <c r="D6" s="18" t="s">
        <v>303</v>
      </c>
    </row>
    <row r="7" spans="1:4" ht="27.75" customHeight="1">
      <c r="A7" s="16" t="s">
        <v>308</v>
      </c>
      <c r="B7" s="13"/>
      <c r="C7" s="13"/>
      <c r="D7" s="18" t="s">
        <v>303</v>
      </c>
    </row>
    <row r="8" spans="1:4" ht="27.75" customHeight="1">
      <c r="A8" s="16" t="s">
        <v>309</v>
      </c>
      <c r="B8" s="13"/>
      <c r="C8" s="13"/>
      <c r="D8" s="18" t="s">
        <v>303</v>
      </c>
    </row>
    <row r="9" spans="1:4" ht="27.75" customHeight="1">
      <c r="A9" s="16" t="s">
        <v>310</v>
      </c>
      <c r="B9" s="13"/>
      <c r="C9" s="13"/>
      <c r="D9" s="18" t="s">
        <v>303</v>
      </c>
    </row>
    <row r="10" spans="1:4" ht="27.75" customHeight="1">
      <c r="A10" s="16" t="s">
        <v>311</v>
      </c>
      <c r="B10" s="13"/>
      <c r="C10" s="13"/>
      <c r="D10" s="18" t="s">
        <v>303</v>
      </c>
    </row>
    <row r="11" spans="1:4" ht="27.75" customHeight="1">
      <c r="A11" s="16" t="s">
        <v>312</v>
      </c>
      <c r="B11" s="13"/>
      <c r="C11" s="13"/>
      <c r="D11" s="18" t="s">
        <v>303</v>
      </c>
    </row>
    <row r="12" spans="1:4" ht="27.75" customHeight="1">
      <c r="A12" s="16" t="s">
        <v>313</v>
      </c>
      <c r="B12" s="13"/>
      <c r="C12" s="13"/>
      <c r="D12" s="18" t="s">
        <v>303</v>
      </c>
    </row>
    <row r="13" spans="1:4" ht="27.75" customHeight="1">
      <c r="A13" s="16" t="s">
        <v>314</v>
      </c>
      <c r="B13" s="13"/>
      <c r="C13" s="13"/>
      <c r="D13" s="18" t="s">
        <v>303</v>
      </c>
    </row>
    <row r="14" spans="1:4" ht="27.75" customHeight="1">
      <c r="A14" s="16" t="s">
        <v>315</v>
      </c>
      <c r="B14" s="13"/>
      <c r="C14" s="13"/>
      <c r="D14" s="18" t="s">
        <v>303</v>
      </c>
    </row>
    <row r="15" spans="1:4" ht="27.75" customHeight="1">
      <c r="A15" s="16" t="s">
        <v>316</v>
      </c>
      <c r="B15" s="13"/>
      <c r="C15" s="13"/>
      <c r="D15" s="18" t="s">
        <v>303</v>
      </c>
    </row>
    <row r="16" spans="1:4" ht="27.75" customHeight="1">
      <c r="A16" s="16" t="s">
        <v>317</v>
      </c>
      <c r="B16" s="13"/>
      <c r="C16" s="13"/>
      <c r="D16" s="18" t="s">
        <v>303</v>
      </c>
    </row>
    <row r="17" spans="1:4" ht="27.75" customHeight="1">
      <c r="A17" s="16" t="s">
        <v>318</v>
      </c>
      <c r="B17" s="13"/>
      <c r="C17" s="13"/>
      <c r="D17" s="18" t="s">
        <v>303</v>
      </c>
    </row>
    <row r="18" spans="1:4" ht="27.75" customHeight="1">
      <c r="A18" s="16" t="s">
        <v>319</v>
      </c>
      <c r="B18" s="13"/>
      <c r="C18" s="13"/>
      <c r="D18" s="18" t="s">
        <v>303</v>
      </c>
    </row>
    <row r="19" spans="1:4" ht="27.75" customHeight="1">
      <c r="A19" s="16" t="s">
        <v>320</v>
      </c>
      <c r="B19" s="13"/>
      <c r="C19" s="13"/>
      <c r="D19" s="18" t="s">
        <v>303</v>
      </c>
    </row>
    <row r="20" spans="1:4" ht="27.75" customHeight="1">
      <c r="A20" s="16" t="s">
        <v>321</v>
      </c>
      <c r="B20" s="13"/>
      <c r="C20" s="13"/>
      <c r="D20" s="18" t="s">
        <v>303</v>
      </c>
    </row>
    <row r="21" spans="1:4" ht="27.75" customHeight="1">
      <c r="A21" s="16" t="s">
        <v>322</v>
      </c>
      <c r="B21" s="13"/>
      <c r="C21" s="13"/>
      <c r="D21" s="18" t="s">
        <v>303</v>
      </c>
    </row>
    <row r="22" spans="1:4" ht="27.75" customHeight="1">
      <c r="A22" s="16" t="s">
        <v>323</v>
      </c>
      <c r="B22" s="13"/>
      <c r="C22" s="13"/>
      <c r="D22" s="18" t="s">
        <v>303</v>
      </c>
    </row>
    <row r="23" spans="1:4" ht="27.75" customHeight="1">
      <c r="A23" s="16" t="s">
        <v>324</v>
      </c>
      <c r="B23" s="13"/>
      <c r="C23" s="13"/>
      <c r="D23" s="18" t="s">
        <v>303</v>
      </c>
    </row>
    <row r="24" spans="1:4" ht="27.75" customHeight="1">
      <c r="A24" s="16" t="s">
        <v>325</v>
      </c>
      <c r="B24" s="13"/>
      <c r="C24" s="13"/>
      <c r="D24" s="18" t="s">
        <v>303</v>
      </c>
    </row>
    <row r="25" spans="1:4" ht="27.75" customHeight="1">
      <c r="A25" s="16" t="s">
        <v>326</v>
      </c>
      <c r="B25" s="13"/>
      <c r="C25" s="13"/>
      <c r="D25" s="18" t="s">
        <v>303</v>
      </c>
    </row>
    <row r="26" spans="1:4" ht="27.75" customHeight="1">
      <c r="A26" s="16" t="s">
        <v>327</v>
      </c>
      <c r="B26" s="13"/>
      <c r="C26" s="13"/>
      <c r="D26" s="18" t="s">
        <v>303</v>
      </c>
    </row>
    <row r="27" spans="1:4" ht="27.75" customHeight="1">
      <c r="A27" s="16" t="s">
        <v>328</v>
      </c>
      <c r="B27" s="13"/>
      <c r="C27" s="13"/>
      <c r="D27" s="18" t="s">
        <v>303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tabSelected="1" zoomScaleNormal="100" workbookViewId="0">
      <pane ySplit="19" topLeftCell="A30" activePane="bottomLeft" state="frozen"/>
      <selection pane="bottomLeft" activeCell="D33" sqref="D33"/>
    </sheetView>
  </sheetViews>
  <sheetFormatPr defaultColWidth="8.7109375" defaultRowHeight="15"/>
  <cols>
    <col min="1" max="1" width="22" customWidth="1"/>
    <col min="2" max="2" width="12" customWidth="1"/>
    <col min="3" max="7" width="14" customWidth="1"/>
    <col min="8" max="8" width="16" customWidth="1"/>
    <col min="9" max="9" width="4" customWidth="1"/>
  </cols>
  <sheetData>
    <row r="1" spans="1:9">
      <c r="A1" s="31" t="s">
        <v>329</v>
      </c>
      <c r="B1" s="31"/>
      <c r="C1" s="31"/>
      <c r="D1" s="31"/>
      <c r="E1" s="31"/>
      <c r="F1" s="31"/>
      <c r="G1" s="31"/>
      <c r="H1" s="31"/>
      <c r="I1" s="31"/>
    </row>
    <row r="3" spans="1:9" ht="15" customHeight="1">
      <c r="A3" s="19" t="s">
        <v>330</v>
      </c>
      <c r="B3" s="20">
        <v>46279</v>
      </c>
      <c r="D3" s="27" t="s">
        <v>331</v>
      </c>
      <c r="E3" s="27"/>
      <c r="F3" s="27"/>
      <c r="G3" s="27"/>
      <c r="H3" s="27"/>
      <c r="I3" s="27"/>
    </row>
    <row r="4" spans="1:9">
      <c r="A4" s="19" t="s">
        <v>332</v>
      </c>
      <c r="B4" s="20">
        <v>46299</v>
      </c>
      <c r="D4" s="27"/>
      <c r="E4" s="27"/>
      <c r="F4" s="27"/>
      <c r="G4" s="27"/>
      <c r="H4" s="27"/>
      <c r="I4" s="27"/>
    </row>
    <row r="5" spans="1:9">
      <c r="A5" s="19" t="s">
        <v>333</v>
      </c>
      <c r="B5" s="21">
        <f>SUM('Sprint Backlog'!F3:F49)</f>
        <v>110.5</v>
      </c>
    </row>
    <row r="6" spans="1:9">
      <c r="A6" s="19" t="s">
        <v>334</v>
      </c>
      <c r="B6" s="21">
        <f>SUM('Sprint Backlog'!O3:O49)</f>
        <v>127</v>
      </c>
    </row>
    <row r="7" spans="1:9">
      <c r="A7" s="19" t="s">
        <v>335</v>
      </c>
      <c r="B7" s="21">
        <f>B4-B3</f>
        <v>20</v>
      </c>
    </row>
    <row r="9" spans="1:9" ht="30" customHeight="1">
      <c r="A9" s="22" t="s">
        <v>336</v>
      </c>
      <c r="B9" s="22" t="s">
        <v>337</v>
      </c>
      <c r="C9" s="22" t="s">
        <v>338</v>
      </c>
      <c r="D9" s="22" t="s">
        <v>339</v>
      </c>
      <c r="E9" s="22" t="s">
        <v>340</v>
      </c>
      <c r="F9" s="22" t="s">
        <v>341</v>
      </c>
      <c r="G9" s="22" t="s">
        <v>342</v>
      </c>
      <c r="H9" s="22" t="s">
        <v>343</v>
      </c>
    </row>
    <row r="10" spans="1:9">
      <c r="A10" s="23">
        <v>0</v>
      </c>
      <c r="B10" s="24">
        <f>$B$3+A10</f>
        <v>46279</v>
      </c>
      <c r="C10" s="25">
        <f>MAX(0,$B$5-$B$5*A10/$B$7)</f>
        <v>110.5</v>
      </c>
      <c r="D10" s="25">
        <f>$B$5-SUMIFS('Sprint Backlog'!$F$3:$F$49,'Sprint Backlog'!$N$3:$N$49,"&lt;="&amp;B10)</f>
        <v>109.5</v>
      </c>
      <c r="E10" s="25">
        <f>$B$5</f>
        <v>110.5</v>
      </c>
      <c r="F10" s="25">
        <f>$B$5-C10</f>
        <v>0</v>
      </c>
      <c r="G10" s="25">
        <f>$B$5-D10</f>
        <v>1</v>
      </c>
      <c r="H10" s="25">
        <f>SUMIFS('Sprint Backlog'!$O$3:$O$49,'Sprint Backlog'!$N$3:$N$49,"&lt;="&amp;B10)</f>
        <v>1</v>
      </c>
    </row>
    <row r="11" spans="1:9">
      <c r="A11" s="23">
        <v>1</v>
      </c>
      <c r="B11" s="24">
        <f>$B$3+A11</f>
        <v>46280</v>
      </c>
      <c r="C11" s="25">
        <f>MAX(0,$B$5-$B$5*A11/$B$7)</f>
        <v>104.97499999999999</v>
      </c>
      <c r="D11" s="25">
        <f>$B$5-SUMIFS('Sprint Backlog'!$F$3:$F$49,'Sprint Backlog'!$N$3:$N$49,"&lt;="&amp;B11)</f>
        <v>108.5</v>
      </c>
      <c r="E11" s="25">
        <f>$B$5</f>
        <v>110.5</v>
      </c>
      <c r="F11" s="25">
        <f>$B$5-C11</f>
        <v>5.5250000000000057</v>
      </c>
      <c r="G11" s="25">
        <f>$B$5-D11</f>
        <v>2</v>
      </c>
      <c r="H11" s="25">
        <f>SUMIFS('Sprint Backlog'!$O$3:$O$49,'Sprint Backlog'!$N$3:$N$49,"&lt;="&amp;B11)</f>
        <v>2</v>
      </c>
    </row>
    <row r="12" spans="1:9">
      <c r="A12" s="23">
        <v>2</v>
      </c>
      <c r="B12" s="24">
        <f>$B$3+A12</f>
        <v>46281</v>
      </c>
      <c r="C12" s="25">
        <f>MAX(0,$B$5-$B$5*A12/$B$7)</f>
        <v>99.45</v>
      </c>
      <c r="D12" s="25">
        <f>$B$5-SUMIFS('Sprint Backlog'!$F$3:$F$49,'Sprint Backlog'!$N$3:$N$49,"&lt;="&amp;B12)</f>
        <v>103.5</v>
      </c>
      <c r="E12" s="25">
        <f>$B$5</f>
        <v>110.5</v>
      </c>
      <c r="F12" s="25">
        <f>$B$5-C12</f>
        <v>11.049999999999997</v>
      </c>
      <c r="G12" s="25">
        <f>$B$5-D12</f>
        <v>7</v>
      </c>
      <c r="H12" s="25">
        <f>SUMIFS('Sprint Backlog'!$O$3:$O$49,'Sprint Backlog'!$N$3:$N$49,"&lt;="&amp;B12)</f>
        <v>8</v>
      </c>
    </row>
    <row r="13" spans="1:9">
      <c r="A13" s="23">
        <v>3</v>
      </c>
      <c r="B13" s="24">
        <f>$B$3+A13</f>
        <v>46282</v>
      </c>
      <c r="C13" s="25">
        <f>MAX(0,$B$5-$B$5*A13/$B$7)</f>
        <v>93.924999999999997</v>
      </c>
      <c r="D13" s="25">
        <f>$B$5-SUMIFS('Sprint Backlog'!$F$3:$F$49,'Sprint Backlog'!$N$3:$N$49,"&lt;="&amp;B13)</f>
        <v>102.5</v>
      </c>
      <c r="E13" s="25">
        <f>$B$5</f>
        <v>110.5</v>
      </c>
      <c r="F13" s="25">
        <f>$B$5-C13</f>
        <v>16.575000000000003</v>
      </c>
      <c r="G13" s="25">
        <f>$B$5-D13</f>
        <v>8</v>
      </c>
      <c r="H13" s="25">
        <f>SUMIFS('Sprint Backlog'!$O$3:$O$49,'Sprint Backlog'!$N$3:$N$49,"&lt;="&amp;B13)</f>
        <v>9</v>
      </c>
    </row>
    <row r="14" spans="1:9">
      <c r="A14" s="23">
        <v>4</v>
      </c>
      <c r="B14" s="24">
        <f>$B$3+A14</f>
        <v>46283</v>
      </c>
      <c r="C14" s="25">
        <f>MAX(0,$B$5-$B$5*A14/$B$7)</f>
        <v>88.4</v>
      </c>
      <c r="D14" s="25">
        <f>$B$5-SUMIFS('Sprint Backlog'!$F$3:$F$49,'Sprint Backlog'!$N$3:$N$49,"&lt;="&amp;B14)</f>
        <v>101.5</v>
      </c>
      <c r="E14" s="25">
        <f>$B$5</f>
        <v>110.5</v>
      </c>
      <c r="F14" s="25">
        <f>$B$5-C14</f>
        <v>22.099999999999994</v>
      </c>
      <c r="G14" s="25">
        <f>$B$5-D14</f>
        <v>9</v>
      </c>
      <c r="H14" s="25">
        <f>SUMIFS('Sprint Backlog'!$O$3:$O$49,'Sprint Backlog'!$N$3:$N$49,"&lt;="&amp;B14)</f>
        <v>10</v>
      </c>
    </row>
    <row r="15" spans="1:9">
      <c r="A15" s="23">
        <v>5</v>
      </c>
      <c r="B15" s="24">
        <f>$B$3+A15</f>
        <v>46284</v>
      </c>
      <c r="C15" s="25">
        <f>MAX(0,$B$5-$B$5*A15/$B$7)</f>
        <v>82.875</v>
      </c>
      <c r="D15" s="25">
        <f>$B$5-SUMIFS('Sprint Backlog'!$F$3:$F$49,'Sprint Backlog'!$N$3:$N$49,"&lt;="&amp;B15)</f>
        <v>97.5</v>
      </c>
      <c r="E15" s="25">
        <f>$B$5</f>
        <v>110.5</v>
      </c>
      <c r="F15" s="25">
        <f>$B$5-C15</f>
        <v>27.625</v>
      </c>
      <c r="G15" s="25">
        <f>$B$5-D15</f>
        <v>13</v>
      </c>
      <c r="H15" s="25">
        <f>SUMIFS('Sprint Backlog'!$O$3:$O$49,'Sprint Backlog'!$N$3:$N$49,"&lt;="&amp;B15)</f>
        <v>15</v>
      </c>
    </row>
    <row r="16" spans="1:9">
      <c r="A16" s="23">
        <v>6</v>
      </c>
      <c r="B16" s="24">
        <f>$B$3+A16</f>
        <v>46285</v>
      </c>
      <c r="C16" s="25">
        <f>MAX(0,$B$5-$B$5*A16/$B$7)</f>
        <v>77.349999999999994</v>
      </c>
      <c r="D16" s="25">
        <f>$B$5-SUMIFS('Sprint Backlog'!$F$3:$F$49,'Sprint Backlog'!$N$3:$N$49,"&lt;="&amp;B16)</f>
        <v>93.5</v>
      </c>
      <c r="E16" s="25">
        <f>$B$5</f>
        <v>110.5</v>
      </c>
      <c r="F16" s="25">
        <f>$B$5-C16</f>
        <v>33.150000000000006</v>
      </c>
      <c r="G16" s="25">
        <f>$B$5-D16</f>
        <v>17</v>
      </c>
      <c r="H16" s="25">
        <f>SUMIFS('Sprint Backlog'!$O$3:$O$49,'Sprint Backlog'!$N$3:$N$49,"&lt;="&amp;B16)</f>
        <v>20</v>
      </c>
    </row>
    <row r="17" spans="1:8">
      <c r="A17" s="23">
        <v>7</v>
      </c>
      <c r="B17" s="24">
        <f>$B$3+A17</f>
        <v>46286</v>
      </c>
      <c r="C17" s="25">
        <f>MAX(0,$B$5-$B$5*A17/$B$7)</f>
        <v>71.825000000000003</v>
      </c>
      <c r="D17" s="25">
        <f>$B$5-SUMIFS('Sprint Backlog'!$F$3:$F$49,'Sprint Backlog'!$N$3:$N$49,"&lt;="&amp;B17)</f>
        <v>93.5</v>
      </c>
      <c r="E17" s="25">
        <f>$B$5</f>
        <v>110.5</v>
      </c>
      <c r="F17" s="25">
        <f>$B$5-C17</f>
        <v>38.674999999999997</v>
      </c>
      <c r="G17" s="25">
        <f>$B$5-D17</f>
        <v>17</v>
      </c>
      <c r="H17" s="25">
        <f>SUMIFS('Sprint Backlog'!$O$3:$O$49,'Sprint Backlog'!$N$3:$N$49,"&lt;="&amp;B17)</f>
        <v>20</v>
      </c>
    </row>
    <row r="18" spans="1:8">
      <c r="A18" s="23">
        <v>8</v>
      </c>
      <c r="B18" s="24">
        <f>$B$3+A18</f>
        <v>46287</v>
      </c>
      <c r="C18" s="25">
        <f>MAX(0,$B$5-$B$5*A18/$B$7)</f>
        <v>66.3</v>
      </c>
      <c r="D18" s="25">
        <f>$B$5-SUMIFS('Sprint Backlog'!$F$3:$F$49,'Sprint Backlog'!$N$3:$N$49,"&lt;="&amp;B18)</f>
        <v>91.5</v>
      </c>
      <c r="E18" s="25">
        <f>$B$5</f>
        <v>110.5</v>
      </c>
      <c r="F18" s="25">
        <f>$B$5-C18</f>
        <v>44.2</v>
      </c>
      <c r="G18" s="25">
        <f>$B$5-D18</f>
        <v>19</v>
      </c>
      <c r="H18" s="25">
        <f>SUMIFS('Sprint Backlog'!$O$3:$O$49,'Sprint Backlog'!$N$3:$N$49,"&lt;="&amp;B18)</f>
        <v>21.5</v>
      </c>
    </row>
    <row r="19" spans="1:8">
      <c r="A19" s="23">
        <v>9</v>
      </c>
      <c r="B19" s="24">
        <f>$B$3+A19</f>
        <v>46288</v>
      </c>
      <c r="C19" s="25">
        <f>MAX(0,$B$5-$B$5*A19/$B$7)</f>
        <v>60.774999999999999</v>
      </c>
      <c r="D19" s="25">
        <f>$B$5-SUMIFS('Sprint Backlog'!$F$3:$F$49,'Sprint Backlog'!$N$3:$N$49,"&lt;="&amp;B19)</f>
        <v>87.5</v>
      </c>
      <c r="E19" s="25">
        <f>$B$5</f>
        <v>110.5</v>
      </c>
      <c r="F19" s="25">
        <f>$B$5-C19</f>
        <v>49.725000000000001</v>
      </c>
      <c r="G19" s="25">
        <f>$B$5-D19</f>
        <v>23</v>
      </c>
      <c r="H19" s="25">
        <f>SUMIFS('Sprint Backlog'!$O$3:$O$49,'Sprint Backlog'!$N$3:$N$49,"&lt;="&amp;B19)</f>
        <v>25.5</v>
      </c>
    </row>
    <row r="20" spans="1:8">
      <c r="A20" s="23">
        <v>10</v>
      </c>
      <c r="B20" s="24">
        <f>$B$3+A20</f>
        <v>46289</v>
      </c>
      <c r="C20" s="25">
        <f>MAX(0,$B$5-$B$5*A20/$B$7)</f>
        <v>55.25</v>
      </c>
      <c r="D20" s="25">
        <f>$B$5-SUMIFS('Sprint Backlog'!$F$3:$F$49,'Sprint Backlog'!$N$3:$N$49,"&lt;="&amp;B20)</f>
        <v>84.5</v>
      </c>
      <c r="E20" s="25">
        <f>$B$5</f>
        <v>110.5</v>
      </c>
      <c r="F20" s="25">
        <f>$B$5-C20</f>
        <v>55.25</v>
      </c>
      <c r="G20" s="25">
        <f>$B$5-D20</f>
        <v>26</v>
      </c>
      <c r="H20" s="25">
        <f>SUMIFS('Sprint Backlog'!$O$3:$O$49,'Sprint Backlog'!$N$3:$N$49,"&lt;="&amp;B20)</f>
        <v>28</v>
      </c>
    </row>
    <row r="21" spans="1:8">
      <c r="A21" s="23">
        <v>11</v>
      </c>
      <c r="B21" s="24">
        <f>$B$3+A21</f>
        <v>46290</v>
      </c>
      <c r="C21" s="25">
        <f>MAX(0,$B$5-$B$5*A21/$B$7)</f>
        <v>49.725000000000001</v>
      </c>
      <c r="D21" s="25">
        <f>$B$5-SUMIFS('Sprint Backlog'!$F$3:$F$49,'Sprint Backlog'!$N$3:$N$49,"&lt;="&amp;B21)</f>
        <v>75.5</v>
      </c>
      <c r="E21" s="25">
        <f>$B$5</f>
        <v>110.5</v>
      </c>
      <c r="F21" s="25">
        <f>$B$5-C21</f>
        <v>60.774999999999999</v>
      </c>
      <c r="G21" s="25">
        <f>$B$5-D21</f>
        <v>35</v>
      </c>
      <c r="H21" s="25">
        <f>SUMIFS('Sprint Backlog'!$O$3:$O$49,'Sprint Backlog'!$N$3:$N$49,"&lt;="&amp;B21)</f>
        <v>39.5</v>
      </c>
    </row>
    <row r="22" spans="1:8">
      <c r="A22" s="23">
        <v>12</v>
      </c>
      <c r="B22" s="24">
        <f>$B$3+A22</f>
        <v>46291</v>
      </c>
      <c r="C22" s="25">
        <f>MAX(0,$B$5-$B$5*A22/$B$7)</f>
        <v>44.2</v>
      </c>
      <c r="D22" s="25">
        <f>$B$5-SUMIFS('Sprint Backlog'!$F$3:$F$49,'Sprint Backlog'!$N$3:$N$49,"&lt;="&amp;B22)</f>
        <v>72.5</v>
      </c>
      <c r="E22" s="25">
        <f>$B$5</f>
        <v>110.5</v>
      </c>
      <c r="F22" s="25">
        <f>$B$5-C22</f>
        <v>66.3</v>
      </c>
      <c r="G22" s="25">
        <f>$B$5-D22</f>
        <v>38</v>
      </c>
      <c r="H22" s="25">
        <f>SUMIFS('Sprint Backlog'!$O$3:$O$49,'Sprint Backlog'!$N$3:$N$49,"&lt;="&amp;B22)</f>
        <v>43</v>
      </c>
    </row>
    <row r="23" spans="1:8">
      <c r="A23" s="23">
        <v>13</v>
      </c>
      <c r="B23" s="24">
        <f>$B$3+A23</f>
        <v>46292</v>
      </c>
      <c r="C23" s="25">
        <f>MAX(0,$B$5-$B$5*A23/$B$7)</f>
        <v>38.674999999999997</v>
      </c>
      <c r="D23" s="25">
        <f>$B$5-SUMIFS('Sprint Backlog'!$F$3:$F$49,'Sprint Backlog'!$N$3:$N$49,"&lt;="&amp;B23)</f>
        <v>65.5</v>
      </c>
      <c r="E23" s="25">
        <f>$B$5</f>
        <v>110.5</v>
      </c>
      <c r="F23" s="25">
        <f>$B$5-C23</f>
        <v>71.825000000000003</v>
      </c>
      <c r="G23" s="25">
        <f>$B$5-D23</f>
        <v>45</v>
      </c>
      <c r="H23" s="25">
        <f>SUMIFS('Sprint Backlog'!$O$3:$O$49,'Sprint Backlog'!$N$3:$N$49,"&lt;="&amp;B23)</f>
        <v>51.5</v>
      </c>
    </row>
    <row r="24" spans="1:8">
      <c r="A24" s="23">
        <v>14</v>
      </c>
      <c r="B24" s="24">
        <f>$B$3+A24</f>
        <v>46293</v>
      </c>
      <c r="C24" s="25">
        <f>MAX(0,$B$5-$B$5*A24/$B$7)</f>
        <v>33.150000000000006</v>
      </c>
      <c r="D24" s="25">
        <f>$B$5-SUMIFS('Sprint Backlog'!$F$3:$F$49,'Sprint Backlog'!$N$3:$N$49,"&lt;="&amp;B24)</f>
        <v>63.5</v>
      </c>
      <c r="E24" s="25">
        <f>$B$5</f>
        <v>110.5</v>
      </c>
      <c r="F24" s="25">
        <f>$B$5-C24</f>
        <v>77.349999999999994</v>
      </c>
      <c r="G24" s="25">
        <f>$B$5-D24</f>
        <v>47</v>
      </c>
      <c r="H24" s="25">
        <f>SUMIFS('Sprint Backlog'!$O$3:$O$49,'Sprint Backlog'!$N$3:$N$49,"&lt;="&amp;B24)</f>
        <v>53.5</v>
      </c>
    </row>
    <row r="25" spans="1:8">
      <c r="A25" s="23">
        <v>15</v>
      </c>
      <c r="B25" s="24">
        <f>$B$3+A25</f>
        <v>46294</v>
      </c>
      <c r="C25" s="25">
        <f>MAX(0,$B$5-$B$5*A25/$B$7)</f>
        <v>27.625</v>
      </c>
      <c r="D25" s="25">
        <f>$B$5-SUMIFS('Sprint Backlog'!$F$3:$F$49,'Sprint Backlog'!$N$3:$N$49,"&lt;="&amp;B25)</f>
        <v>59.5</v>
      </c>
      <c r="E25" s="25">
        <f>$B$5</f>
        <v>110.5</v>
      </c>
      <c r="F25" s="25">
        <f>$B$5-C25</f>
        <v>82.875</v>
      </c>
      <c r="G25" s="25">
        <f>$B$5-D25</f>
        <v>51</v>
      </c>
      <c r="H25" s="25">
        <f>SUMIFS('Sprint Backlog'!$O$3:$O$49,'Sprint Backlog'!$N$3:$N$49,"&lt;="&amp;B25)</f>
        <v>57.5</v>
      </c>
    </row>
    <row r="26" spans="1:8">
      <c r="A26" s="23">
        <v>16</v>
      </c>
      <c r="B26" s="24">
        <f>$B$3+A26</f>
        <v>46295</v>
      </c>
      <c r="C26" s="25">
        <f>MAX(0,$B$5-$B$5*A26/$B$7)</f>
        <v>22.099999999999994</v>
      </c>
      <c r="D26" s="25">
        <f>$B$5-SUMIFS('Sprint Backlog'!$F$3:$F$49,'Sprint Backlog'!$N$3:$N$49,"&lt;="&amp;B26)</f>
        <v>55.5</v>
      </c>
      <c r="E26" s="25">
        <f>$B$5</f>
        <v>110.5</v>
      </c>
      <c r="F26" s="25">
        <f>$B$5-C26</f>
        <v>88.4</v>
      </c>
      <c r="G26" s="25">
        <f>$B$5-D26</f>
        <v>55</v>
      </c>
      <c r="H26" s="25">
        <f>SUMIFS('Sprint Backlog'!$O$3:$O$49,'Sprint Backlog'!$N$3:$N$49,"&lt;="&amp;B26)</f>
        <v>61.5</v>
      </c>
    </row>
    <row r="27" spans="1:8">
      <c r="A27" s="23">
        <v>17</v>
      </c>
      <c r="B27" s="24">
        <f>$B$3+A27</f>
        <v>46296</v>
      </c>
      <c r="C27" s="25">
        <f>MAX(0,$B$5-$B$5*A27/$B$7)</f>
        <v>16.575000000000003</v>
      </c>
      <c r="D27" s="25">
        <f>$B$5-SUMIFS('Sprint Backlog'!$F$3:$F$49,'Sprint Backlog'!$N$3:$N$49,"&lt;="&amp;B27)</f>
        <v>50.5</v>
      </c>
      <c r="E27" s="25">
        <f>$B$5</f>
        <v>110.5</v>
      </c>
      <c r="F27" s="25">
        <f>$B$5-C27</f>
        <v>93.924999999999997</v>
      </c>
      <c r="G27" s="25">
        <f>$B$5-D27</f>
        <v>60</v>
      </c>
      <c r="H27" s="25">
        <f>SUMIFS('Sprint Backlog'!$O$3:$O$49,'Sprint Backlog'!$N$3:$N$49,"&lt;="&amp;B27)</f>
        <v>67</v>
      </c>
    </row>
    <row r="28" spans="1:8">
      <c r="A28" s="23">
        <v>18</v>
      </c>
      <c r="B28" s="24">
        <f>$B$3+A28</f>
        <v>46297</v>
      </c>
      <c r="C28" s="25">
        <f>MAX(0,$B$5-$B$5*A28/$B$7)</f>
        <v>11.049999999999997</v>
      </c>
      <c r="D28" s="25">
        <f>$B$5-SUMIFS('Sprint Backlog'!$F$3:$F$49,'Sprint Backlog'!$N$3:$N$49,"&lt;="&amp;B28)</f>
        <v>48.5</v>
      </c>
      <c r="E28" s="25">
        <f>$B$5</f>
        <v>110.5</v>
      </c>
      <c r="F28" s="25">
        <f>$B$5-C28</f>
        <v>99.45</v>
      </c>
      <c r="G28" s="25">
        <f>$B$5-D28</f>
        <v>62</v>
      </c>
      <c r="H28" s="25">
        <f>SUMIFS('Sprint Backlog'!$O$3:$O$49,'Sprint Backlog'!$N$3:$N$49,"&lt;="&amp;B28)</f>
        <v>70</v>
      </c>
    </row>
    <row r="29" spans="1:8">
      <c r="A29" s="23">
        <v>19</v>
      </c>
      <c r="B29" s="24">
        <f>$B$3+A29</f>
        <v>46298</v>
      </c>
      <c r="C29" s="25">
        <f>MAX(0,$B$5-$B$5*A29/$B$7)</f>
        <v>5.5250000000000057</v>
      </c>
      <c r="D29" s="25">
        <f>$B$5-SUMIFS('Sprint Backlog'!$F$3:$F$49,'Sprint Backlog'!$N$3:$N$49,"&lt;="&amp;B29)</f>
        <v>42.5</v>
      </c>
      <c r="E29" s="25">
        <f>$B$5</f>
        <v>110.5</v>
      </c>
      <c r="F29" s="25">
        <f>$B$5-C29</f>
        <v>104.97499999999999</v>
      </c>
      <c r="G29" s="25">
        <f>$B$5-D29</f>
        <v>68</v>
      </c>
      <c r="H29" s="25">
        <f>SUMIFS('Sprint Backlog'!$O$3:$O$49,'Sprint Backlog'!$N$3:$N$49,"&lt;="&amp;B29)</f>
        <v>76.5</v>
      </c>
    </row>
    <row r="30" spans="1:8">
      <c r="A30" s="23">
        <v>20</v>
      </c>
      <c r="B30" s="24">
        <f>$B$3+A30</f>
        <v>46299</v>
      </c>
      <c r="C30" s="25">
        <f>MAX(0,$B$5-$B$5*A30/$B$7)</f>
        <v>0</v>
      </c>
      <c r="D30" s="25">
        <f>$B$5-SUMIFS('Sprint Backlog'!$F$3:$F$49,'Sprint Backlog'!$N$3:$N$49,"&lt;="&amp;B30)</f>
        <v>0</v>
      </c>
      <c r="E30" s="25">
        <f>$B$5</f>
        <v>110.5</v>
      </c>
      <c r="F30" s="25">
        <f>$B$5-C30</f>
        <v>110.5</v>
      </c>
      <c r="G30" s="25">
        <f>$B$5-D30</f>
        <v>110.5</v>
      </c>
      <c r="H30" s="25">
        <f>SUMIFS('Sprint Backlog'!$O$3:$O$49,'Sprint Backlog'!$N$3:$N$49,"&lt;="&amp;B30)</f>
        <v>127</v>
      </c>
    </row>
  </sheetData>
  <mergeCells count="2">
    <mergeCell ref="A1:I1"/>
    <mergeCell ref="D3:I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SALAS ORTIZ FELIPE P</cp:lastModifiedBy>
  <cp:revision>1</cp:revision>
  <dcterms:created xsi:type="dcterms:W3CDTF">2026-09-15T00:43:03Z</dcterms:created>
  <dcterms:modified xsi:type="dcterms:W3CDTF">2026-09-30T00:45:56Z</dcterms:modified>
  <cp:category/>
  <cp:contentStatus/>
</cp:coreProperties>
</file>