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8" documentId="11_21B8B55602B7165BB06174A6485129FC02F860EE" xr6:coauthVersionLast="47" xr6:coauthVersionMax="47" xr10:uidLastSave="{239C7EFF-1955-418E-911D-7CAD3B26F1F2}"/>
  <bookViews>
    <workbookView xWindow="0" yWindow="0" windowWidth="16384" windowHeight="8192" tabRatio="500" activeTab="1" xr2:uid="{00000000-000D-0000-FFFF-FFFF00000000}"/>
  </bookViews>
  <sheets>
    <sheet name="Sprint Backlog" sheetId="1" r:id="rId1"/>
    <sheet name="Burn Acumulado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6" i="2" l="1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B5" i="2"/>
  <c r="B4" i="2"/>
  <c r="B3" i="2"/>
  <c r="F96" i="2" l="1"/>
  <c r="E96" i="2"/>
  <c r="H96" i="2" s="1"/>
  <c r="D96" i="2"/>
  <c r="G96" i="2" s="1"/>
  <c r="F95" i="2"/>
  <c r="E95" i="2"/>
  <c r="H95" i="2" s="1"/>
  <c r="D95" i="2"/>
  <c r="G95" i="2" s="1"/>
  <c r="F94" i="2"/>
  <c r="E94" i="2"/>
  <c r="H94" i="2" s="1"/>
  <c r="D94" i="2"/>
  <c r="G94" i="2" s="1"/>
  <c r="F93" i="2"/>
  <c r="E93" i="2"/>
  <c r="H93" i="2" s="1"/>
  <c r="D93" i="2"/>
  <c r="G93" i="2" s="1"/>
  <c r="F92" i="2"/>
  <c r="E92" i="2"/>
  <c r="H92" i="2" s="1"/>
  <c r="D92" i="2"/>
  <c r="G92" i="2" s="1"/>
  <c r="F91" i="2"/>
  <c r="E91" i="2"/>
  <c r="H91" i="2" s="1"/>
  <c r="D91" i="2"/>
  <c r="G91" i="2" s="1"/>
  <c r="F90" i="2"/>
  <c r="E90" i="2"/>
  <c r="H90" i="2" s="1"/>
  <c r="D90" i="2"/>
  <c r="G90" i="2" s="1"/>
  <c r="F89" i="2"/>
  <c r="E89" i="2"/>
  <c r="H89" i="2" s="1"/>
  <c r="D89" i="2"/>
  <c r="G89" i="2" s="1"/>
  <c r="F88" i="2"/>
  <c r="E88" i="2"/>
  <c r="H88" i="2" s="1"/>
  <c r="D88" i="2"/>
  <c r="G88" i="2" s="1"/>
  <c r="F87" i="2"/>
  <c r="E87" i="2"/>
  <c r="H87" i="2" s="1"/>
  <c r="D87" i="2"/>
  <c r="G87" i="2" s="1"/>
  <c r="F86" i="2"/>
  <c r="E86" i="2"/>
  <c r="H86" i="2" s="1"/>
  <c r="D86" i="2"/>
  <c r="G86" i="2" s="1"/>
  <c r="F85" i="2"/>
  <c r="E85" i="2"/>
  <c r="H85" i="2" s="1"/>
  <c r="D85" i="2"/>
  <c r="G85" i="2" s="1"/>
  <c r="F84" i="2"/>
  <c r="E84" i="2"/>
  <c r="H84" i="2" s="1"/>
  <c r="D84" i="2"/>
  <c r="G84" i="2" s="1"/>
  <c r="F83" i="2"/>
  <c r="E83" i="2"/>
  <c r="H83" i="2" s="1"/>
  <c r="D83" i="2"/>
  <c r="G83" i="2" s="1"/>
  <c r="F82" i="2"/>
  <c r="E82" i="2"/>
  <c r="H82" i="2" s="1"/>
  <c r="D82" i="2"/>
  <c r="G82" i="2" s="1"/>
  <c r="F81" i="2"/>
  <c r="E81" i="2"/>
  <c r="H81" i="2" s="1"/>
  <c r="D81" i="2"/>
  <c r="G81" i="2" s="1"/>
  <c r="F80" i="2"/>
  <c r="E80" i="2"/>
  <c r="H80" i="2" s="1"/>
  <c r="D80" i="2"/>
  <c r="G80" i="2" s="1"/>
  <c r="F79" i="2"/>
  <c r="E79" i="2"/>
  <c r="H79" i="2" s="1"/>
  <c r="D79" i="2"/>
  <c r="G79" i="2" s="1"/>
  <c r="F78" i="2"/>
  <c r="E78" i="2"/>
  <c r="H78" i="2" s="1"/>
  <c r="D78" i="2"/>
  <c r="G78" i="2" s="1"/>
  <c r="F77" i="2"/>
  <c r="E77" i="2"/>
  <c r="H77" i="2" s="1"/>
  <c r="D77" i="2"/>
  <c r="G77" i="2" s="1"/>
  <c r="F76" i="2"/>
  <c r="E76" i="2"/>
  <c r="H76" i="2" s="1"/>
  <c r="D76" i="2"/>
  <c r="G76" i="2" s="1"/>
  <c r="F75" i="2"/>
  <c r="E75" i="2"/>
  <c r="H75" i="2" s="1"/>
  <c r="D75" i="2"/>
  <c r="G75" i="2" s="1"/>
  <c r="F74" i="2"/>
  <c r="E74" i="2"/>
  <c r="H74" i="2" s="1"/>
  <c r="D74" i="2"/>
  <c r="G74" i="2" s="1"/>
  <c r="F73" i="2"/>
  <c r="E73" i="2"/>
  <c r="H73" i="2" s="1"/>
  <c r="D73" i="2"/>
  <c r="G73" i="2" s="1"/>
  <c r="F72" i="2"/>
  <c r="E72" i="2"/>
  <c r="H72" i="2" s="1"/>
  <c r="D72" i="2"/>
  <c r="G72" i="2" s="1"/>
  <c r="F71" i="2"/>
  <c r="E71" i="2"/>
  <c r="H71" i="2" s="1"/>
  <c r="D71" i="2"/>
  <c r="G71" i="2" s="1"/>
  <c r="F70" i="2"/>
  <c r="E70" i="2"/>
  <c r="H70" i="2" s="1"/>
  <c r="D70" i="2"/>
  <c r="G70" i="2" s="1"/>
  <c r="F69" i="2"/>
  <c r="E69" i="2"/>
  <c r="H69" i="2" s="1"/>
  <c r="D69" i="2"/>
  <c r="G69" i="2" s="1"/>
  <c r="F68" i="2"/>
  <c r="E68" i="2"/>
  <c r="H68" i="2" s="1"/>
  <c r="D68" i="2"/>
  <c r="G68" i="2" s="1"/>
  <c r="F67" i="2"/>
  <c r="E67" i="2"/>
  <c r="H67" i="2" s="1"/>
  <c r="D67" i="2"/>
  <c r="G67" i="2" s="1"/>
  <c r="F66" i="2"/>
  <c r="E66" i="2"/>
  <c r="H66" i="2" s="1"/>
  <c r="D66" i="2"/>
  <c r="G66" i="2" s="1"/>
  <c r="F65" i="2"/>
  <c r="E65" i="2"/>
  <c r="H65" i="2" s="1"/>
  <c r="D65" i="2"/>
  <c r="G65" i="2" s="1"/>
  <c r="F64" i="2"/>
  <c r="E64" i="2"/>
  <c r="H64" i="2" s="1"/>
  <c r="D64" i="2"/>
  <c r="G64" i="2" s="1"/>
  <c r="F63" i="2"/>
  <c r="E63" i="2"/>
  <c r="H63" i="2" s="1"/>
  <c r="D63" i="2"/>
  <c r="G63" i="2" s="1"/>
  <c r="F62" i="2"/>
  <c r="E62" i="2"/>
  <c r="H62" i="2" s="1"/>
  <c r="D62" i="2"/>
  <c r="G62" i="2" s="1"/>
  <c r="F61" i="2"/>
  <c r="E61" i="2"/>
  <c r="H61" i="2" s="1"/>
  <c r="D61" i="2"/>
  <c r="G61" i="2" s="1"/>
  <c r="F60" i="2"/>
  <c r="E60" i="2"/>
  <c r="H60" i="2" s="1"/>
  <c r="D60" i="2"/>
  <c r="G60" i="2" s="1"/>
  <c r="F59" i="2"/>
  <c r="E59" i="2"/>
  <c r="H59" i="2" s="1"/>
  <c r="D59" i="2"/>
  <c r="G59" i="2" s="1"/>
  <c r="F58" i="2"/>
  <c r="E58" i="2"/>
  <c r="H58" i="2" s="1"/>
  <c r="D58" i="2"/>
  <c r="G58" i="2" s="1"/>
  <c r="F57" i="2"/>
  <c r="E57" i="2"/>
  <c r="H57" i="2" s="1"/>
  <c r="D57" i="2"/>
  <c r="G57" i="2" s="1"/>
  <c r="F56" i="2"/>
  <c r="E56" i="2"/>
  <c r="H56" i="2" s="1"/>
  <c r="D56" i="2"/>
  <c r="G56" i="2" s="1"/>
  <c r="F55" i="2"/>
  <c r="E55" i="2"/>
  <c r="H55" i="2" s="1"/>
  <c r="D55" i="2"/>
  <c r="G55" i="2" s="1"/>
  <c r="F54" i="2"/>
  <c r="E54" i="2"/>
  <c r="H54" i="2" s="1"/>
  <c r="D54" i="2"/>
  <c r="G54" i="2" s="1"/>
  <c r="F53" i="2"/>
  <c r="E53" i="2"/>
  <c r="H53" i="2" s="1"/>
  <c r="D53" i="2"/>
  <c r="G53" i="2" s="1"/>
  <c r="F52" i="2"/>
  <c r="E52" i="2"/>
  <c r="H52" i="2" s="1"/>
  <c r="D52" i="2"/>
  <c r="G52" i="2" s="1"/>
  <c r="F51" i="2"/>
  <c r="E51" i="2"/>
  <c r="H51" i="2" s="1"/>
  <c r="D51" i="2"/>
  <c r="G51" i="2" s="1"/>
  <c r="F50" i="2"/>
  <c r="E50" i="2"/>
  <c r="H50" i="2" s="1"/>
  <c r="D50" i="2"/>
  <c r="G50" i="2" s="1"/>
  <c r="F49" i="2"/>
  <c r="E49" i="2"/>
  <c r="H49" i="2" s="1"/>
  <c r="D49" i="2"/>
  <c r="G49" i="2" s="1"/>
  <c r="F48" i="2"/>
  <c r="E48" i="2"/>
  <c r="H48" i="2" s="1"/>
  <c r="D48" i="2"/>
  <c r="G48" i="2" s="1"/>
  <c r="F47" i="2"/>
  <c r="E47" i="2"/>
  <c r="H47" i="2" s="1"/>
  <c r="D47" i="2"/>
  <c r="G47" i="2" s="1"/>
  <c r="F46" i="2"/>
  <c r="E46" i="2"/>
  <c r="H46" i="2" s="1"/>
  <c r="D46" i="2"/>
  <c r="G46" i="2" s="1"/>
  <c r="F45" i="2"/>
  <c r="E45" i="2"/>
  <c r="H45" i="2" s="1"/>
  <c r="D45" i="2"/>
  <c r="G45" i="2" s="1"/>
  <c r="F44" i="2"/>
  <c r="E44" i="2"/>
  <c r="H44" i="2" s="1"/>
  <c r="D44" i="2"/>
  <c r="G44" i="2" s="1"/>
  <c r="F43" i="2"/>
  <c r="E43" i="2"/>
  <c r="H43" i="2" s="1"/>
  <c r="D43" i="2"/>
  <c r="G43" i="2" s="1"/>
  <c r="F42" i="2"/>
  <c r="E42" i="2"/>
  <c r="H42" i="2" s="1"/>
  <c r="D42" i="2"/>
  <c r="G42" i="2" s="1"/>
  <c r="F41" i="2"/>
  <c r="E41" i="2"/>
  <c r="H41" i="2" s="1"/>
  <c r="D41" i="2"/>
  <c r="G41" i="2" s="1"/>
  <c r="F40" i="2"/>
  <c r="E40" i="2"/>
  <c r="H40" i="2" s="1"/>
  <c r="D40" i="2"/>
  <c r="G40" i="2" s="1"/>
  <c r="F39" i="2"/>
  <c r="E39" i="2"/>
  <c r="H39" i="2" s="1"/>
  <c r="D39" i="2"/>
  <c r="G39" i="2" s="1"/>
  <c r="F38" i="2"/>
  <c r="E38" i="2"/>
  <c r="H38" i="2" s="1"/>
  <c r="D38" i="2"/>
  <c r="G38" i="2" s="1"/>
  <c r="F37" i="2"/>
  <c r="E37" i="2"/>
  <c r="H37" i="2" s="1"/>
  <c r="D37" i="2"/>
  <c r="G37" i="2" s="1"/>
  <c r="F36" i="2"/>
  <c r="E36" i="2"/>
  <c r="H36" i="2" s="1"/>
  <c r="D36" i="2"/>
  <c r="G36" i="2" s="1"/>
  <c r="F35" i="2"/>
  <c r="E35" i="2"/>
  <c r="H35" i="2" s="1"/>
  <c r="D35" i="2"/>
  <c r="G35" i="2" s="1"/>
  <c r="F34" i="2"/>
  <c r="E34" i="2"/>
  <c r="H34" i="2" s="1"/>
  <c r="D34" i="2"/>
  <c r="G34" i="2" s="1"/>
  <c r="F33" i="2"/>
  <c r="E33" i="2"/>
  <c r="H33" i="2" s="1"/>
  <c r="D33" i="2"/>
  <c r="G33" i="2" s="1"/>
  <c r="F32" i="2"/>
  <c r="E32" i="2"/>
  <c r="H32" i="2" s="1"/>
  <c r="D32" i="2"/>
  <c r="G32" i="2" s="1"/>
  <c r="F31" i="2"/>
  <c r="E31" i="2"/>
  <c r="H31" i="2" s="1"/>
  <c r="D31" i="2"/>
  <c r="G31" i="2" s="1"/>
  <c r="F30" i="2"/>
  <c r="E30" i="2"/>
  <c r="H30" i="2" s="1"/>
  <c r="D30" i="2"/>
  <c r="G30" i="2" s="1"/>
  <c r="F29" i="2"/>
  <c r="E29" i="2"/>
  <c r="H29" i="2" s="1"/>
  <c r="D29" i="2"/>
  <c r="G29" i="2" s="1"/>
  <c r="F28" i="2"/>
  <c r="E28" i="2"/>
  <c r="H28" i="2" s="1"/>
  <c r="D28" i="2"/>
  <c r="G28" i="2" s="1"/>
  <c r="F27" i="2"/>
  <c r="E27" i="2"/>
  <c r="H27" i="2" s="1"/>
  <c r="D27" i="2"/>
  <c r="G27" i="2" s="1"/>
  <c r="F26" i="2"/>
  <c r="E26" i="2"/>
  <c r="H26" i="2" s="1"/>
  <c r="D26" i="2"/>
  <c r="G26" i="2" s="1"/>
  <c r="F25" i="2"/>
  <c r="E25" i="2"/>
  <c r="H25" i="2" s="1"/>
  <c r="D25" i="2"/>
  <c r="G25" i="2" s="1"/>
  <c r="F24" i="2"/>
  <c r="E24" i="2"/>
  <c r="H24" i="2" s="1"/>
  <c r="D24" i="2"/>
  <c r="G24" i="2" s="1"/>
  <c r="F23" i="2"/>
  <c r="E23" i="2"/>
  <c r="H23" i="2" s="1"/>
  <c r="D23" i="2"/>
  <c r="G23" i="2" s="1"/>
  <c r="F22" i="2"/>
  <c r="E22" i="2"/>
  <c r="H22" i="2" s="1"/>
  <c r="D22" i="2"/>
  <c r="G22" i="2" s="1"/>
  <c r="F21" i="2"/>
  <c r="E21" i="2"/>
  <c r="H21" i="2" s="1"/>
  <c r="D21" i="2"/>
  <c r="G21" i="2" s="1"/>
  <c r="F20" i="2"/>
  <c r="E20" i="2"/>
  <c r="H20" i="2" s="1"/>
  <c r="D20" i="2"/>
  <c r="G20" i="2" s="1"/>
  <c r="F19" i="2"/>
  <c r="E19" i="2"/>
  <c r="H19" i="2" s="1"/>
  <c r="D19" i="2"/>
  <c r="G19" i="2" s="1"/>
  <c r="F18" i="2"/>
  <c r="E18" i="2"/>
  <c r="H18" i="2" s="1"/>
  <c r="D18" i="2"/>
  <c r="G18" i="2" s="1"/>
  <c r="F17" i="2"/>
  <c r="E17" i="2"/>
  <c r="H17" i="2" s="1"/>
  <c r="D17" i="2"/>
  <c r="G17" i="2" s="1"/>
  <c r="F16" i="2"/>
  <c r="E16" i="2"/>
  <c r="H16" i="2" s="1"/>
  <c r="D16" i="2"/>
  <c r="G16" i="2" s="1"/>
  <c r="F15" i="2"/>
  <c r="E15" i="2"/>
  <c r="H15" i="2" s="1"/>
  <c r="D15" i="2"/>
  <c r="G15" i="2" s="1"/>
  <c r="F14" i="2"/>
  <c r="E14" i="2"/>
  <c r="H14" i="2" s="1"/>
  <c r="D14" i="2"/>
  <c r="G14" i="2" s="1"/>
  <c r="F13" i="2"/>
  <c r="E13" i="2"/>
  <c r="H13" i="2" s="1"/>
  <c r="D13" i="2"/>
  <c r="G13" i="2" s="1"/>
  <c r="F12" i="2"/>
  <c r="E12" i="2"/>
  <c r="H12" i="2" s="1"/>
  <c r="D12" i="2"/>
  <c r="G12" i="2" s="1"/>
  <c r="F11" i="2"/>
  <c r="E11" i="2"/>
  <c r="H11" i="2" s="1"/>
  <c r="D11" i="2"/>
  <c r="G11" i="2" s="1"/>
  <c r="F10" i="2"/>
  <c r="E10" i="2"/>
  <c r="H10" i="2" s="1"/>
  <c r="D10" i="2"/>
  <c r="G10" i="2" s="1"/>
</calcChain>
</file>

<file path=xl/sharedStrings.xml><?xml version="1.0" encoding="utf-8"?>
<sst xmlns="http://schemas.openxmlformats.org/spreadsheetml/2006/main" count="1667" uniqueCount="689">
  <si>
    <t>PILA DEL PRODUCTO — SPRINT BACKLOG — INCREMENTO 1  |  Grupo 20 — Minimarket Antucayen</t>
  </si>
  <si>
    <t>OBJETIVO: Implementar CU-01, CU-04, CU-05 → 24 URs prioridad 1 (34% del backlog)</t>
  </si>
  <si>
    <t>Entrega: 14/06/2026 23:59</t>
  </si>
  <si>
    <t>Prioridad</t>
  </si>
  <si>
    <t>Categoría</t>
  </si>
  <si>
    <t>ID</t>
  </si>
  <si>
    <t>Descripción detallada</t>
  </si>
  <si>
    <t>Responsable</t>
  </si>
  <si>
    <t>HH Est.</t>
  </si>
  <si>
    <t>Estado</t>
  </si>
  <si>
    <t>Criterio de aceptación</t>
  </si>
  <si>
    <t>URs relacionadas</t>
  </si>
  <si>
    <t>Notas / Dependencias</t>
  </si>
  <si>
    <t>Herramientas</t>
  </si>
  <si>
    <t>Fecha límite</t>
  </si>
  <si>
    <t>Fecha inicio</t>
  </si>
  <si>
    <t>Fecha término</t>
  </si>
  <si>
    <t>HH Efectivas</t>
  </si>
  <si>
    <t>Corrección Doc0</t>
  </si>
  <si>
    <t>1.1</t>
  </si>
  <si>
    <t>Corregir formato: cada capítulo debe comenzar en hoja nueva. Aplicar salto de página antes de cada título de nivel 1 en todo el documento.</t>
  </si>
  <si>
    <t>Cristobal Osorio</t>
  </si>
  <si>
    <t>Terminado</t>
  </si>
  <si>
    <t>Documento Word con salto de página antes de cada capítulo; sin capítulos continuando en la misma página.</t>
  </si>
  <si>
    <t>—</t>
  </si>
  <si>
    <t>Error 1 del profesor.</t>
  </si>
  <si>
    <t>Word</t>
  </si>
  <si>
    <t>1.2</t>
  </si>
  <si>
    <t>Corregir BPMN en Bizagi: eliminar numeración de procesos en el lienzo (solo se numeran compuertas), reemplazar líneas segmentadas por líneas de secuencia correctas y agregar objetos de datos faltantes en cada tarea.</t>
  </si>
  <si>
    <t>Erick Hernández</t>
  </si>
  <si>
    <t>Diagrama BPMN exportado (.bpmn + PNG) sin números en procesos simples, flujos de secuencia correctos y objetos de datos en cada actividad.</t>
  </si>
  <si>
    <t>Error 2 (grave). Requiere Bizagi Modeler.</t>
  </si>
  <si>
    <t>Bizagi Modeler</t>
  </si>
  <si>
    <t>1.3</t>
  </si>
  <si>
    <t>Completar análisis del Ishikawa: agregar explicación textual de 3–5 líneas por cada rama (Método, Mano de obra, Materiales, Máquina, Medio ambiente) y párrafo de conclusión después de la figura.</t>
  </si>
  <si>
    <t>Texto explicativo antes y después de la figura; conclusión de mínimo un párrafo luego del Ishikawa.</t>
  </si>
  <si>
    <t>Error 3 del profesor.</t>
  </si>
  <si>
    <t>1.4</t>
  </si>
  <si>
    <t>Reclasificar RF-26 (lectura de archivo PDF/JPG/PNG máx 10 MB) a Requerimientos No Funcionales. Verificar todos los RF en busca de otros mal clasificados.</t>
  </si>
  <si>
    <t>RF-26 aparece en tabla RNF; tabla RF sin él; sin otros RF mal clasificados.</t>
  </si>
  <si>
    <t>Error 5 del profesor.</t>
  </si>
  <si>
    <t>1.5</t>
  </si>
  <si>
    <t>Agregar párrafo introductorio en cap. 8 explicando tecnicismos y abreviaturas (SKU, BPMN, MVC, etc.). Agregar en Anexo vistas/pantallas del sistema con descripción de 2–3 líneas por pantalla.</t>
  </si>
  <si>
    <t>Párrafo introductorio en cap. 8 antes de tabla RF; Anexo de vistas con captura y texto descriptivo por pantalla.</t>
  </si>
  <si>
    <t>Error 4 (grave).</t>
  </si>
  <si>
    <t>1.6</t>
  </si>
  <si>
    <t>Corregir leyenda del diagrama de casos de uso (actualmente ilegible). Regenerar diagrama CU con fondo blanco y notación UML correcta. Redactar leyenda clara que explique cada símbolo.</t>
  </si>
  <si>
    <t>Diagrama CU con fondo blanco, notación UML estándar y leyenda comprensible adjunta.</t>
  </si>
  <si>
    <t>Errores 6, 8 y 9 (grave).</t>
  </si>
  <si>
    <t>draw.io / StarUML</t>
  </si>
  <si>
    <t>1.7</t>
  </si>
  <si>
    <t>Completar columna Prioridad en tabla ESA: revisar que ningún UR quede sin prioridad asignada, especialmente los de Incremento 4.</t>
  </si>
  <si>
    <t>Tabla ESA con columna Prioridad completa para todos los URs; ninguna celda vacía.</t>
  </si>
  <si>
    <t>Error 7 del profesor.</t>
  </si>
  <si>
    <t>1.8</t>
  </si>
  <si>
    <t>Completar los 14 objetivos específicos indicados en clases. Agregar los que falten con redacción técnica en infinitivo alineada al proyecto.</t>
  </si>
  <si>
    <t>Sección de objetivos específicos con exactamente 14 ítems numerados.</t>
  </si>
  <si>
    <t>Error 10 del profesor.</t>
  </si>
  <si>
    <t>1.9</t>
  </si>
  <si>
    <t>Estandarizar los 7 CVs: mismo formato, foto formal, mismas secciones (datos personales, perfil, educación, habilidades). Reemplazar CVs que no cumplen el estándar.</t>
  </si>
  <si>
    <t>7 CVs con formato idéntico, foto formal en cada uno y secciones uniformes.</t>
  </si>
  <si>
    <t>Error 11 del profesor.</t>
  </si>
  <si>
    <t>Word / Canva</t>
  </si>
  <si>
    <t>1.10</t>
  </si>
  <si>
    <t>Corregir Dimensión Técnica en Anexo: eliminar referencias a 'frontend'/'backend', especificar arquitectura MVC real con Vista (Java Swing), Controlador (Java), Modelo (Java + MySQL). Incluir versiones de herramientas.</t>
  </si>
  <si>
    <t>Dimensión técnica sin frontend/backend; secciones Vista/Controlador/Modelo con stack y versiones.</t>
  </si>
  <si>
    <t>Error 12 (grave).</t>
  </si>
  <si>
    <t>1.11</t>
  </si>
  <si>
    <t>Corregir numeración de figuras y tablas al formato Capítulo.Correlativo (ej: Figura 3.2). Verificar que cada figura y tabla sea invocada y explicada en el texto anterior.</t>
  </si>
  <si>
    <t>Todas las figuras y tablas con numeración correcta; cada una referenciada en el texto.</t>
  </si>
  <si>
    <t>Requisito de rúbrica.</t>
  </si>
  <si>
    <t>1.12</t>
  </si>
  <si>
    <t>Agregar citas APA (última versión) en análisis estratégico (PEST, Porter, FODA) e introducción. Completar sección Referencias Bibliográficas al final del documento.</t>
  </si>
  <si>
    <t>Referencias en texto con formato APA vigente; sección Referencias Bibliográficas completa al final.</t>
  </si>
  <si>
    <t>Base de datos</t>
  </si>
  <si>
    <t>2.1</t>
  </si>
  <si>
    <t>Diseñar modelo entidad-relación (DER) en draw.io: entidades Producto, Proveedor, Equivalencia, Factura, ItemFactura, MovimientoInventario, Usuario, Rol. Definir atributos, PKs, FKs y cardinalidades.</t>
  </si>
  <si>
    <t>Matías Ale</t>
  </si>
  <si>
    <t>Archivo draw.io exportado como PNG + XML; DER con todas las entidades y relaciones cardinaladas.</t>
  </si>
  <si>
    <t>Base para scripts SQL y clases Java.</t>
  </si>
  <si>
    <t>draw.io</t>
  </si>
  <si>
    <t>2.2</t>
  </si>
  <si>
    <t>Crear script SQL DDL completo: tablas producto, proveedor, equivalencia, factura, item_factura, movimiento_inventario, usuario, rol. Con PK, FK, índices, tipos de datos y comentarios.</t>
  </si>
  <si>
    <t>Nicolás López</t>
  </si>
  <si>
    <t>Archivo .sql ejecutable sin errores en MySQL 8+; tablas con PK/FK/índices; script comentado.</t>
  </si>
  <si>
    <t>UR-01,UR-09,UR-62</t>
  </si>
  <si>
    <t>Depende de 2.1.</t>
  </si>
  <si>
    <t>MySQL Workbench</t>
  </si>
  <si>
    <t>2.3</t>
  </si>
  <si>
    <t>Crear script DML de datos de prueba: 15 productos SKU único, 4 proveedores, 10 equivalencias, 3 usuarios (Administrador, Bodeguero, Cajero), 2 facturas con ítems. Contraseñas hasheadas.</t>
  </si>
  <si>
    <t>Archivo seed.sql ejecutable; datos coherentes entre tablas; contraseñas hasheadas.</t>
  </si>
  <si>
    <t>UR-62</t>
  </si>
  <si>
    <t>Depende de 2.2.</t>
  </si>
  <si>
    <t>2.4</t>
  </si>
  <si>
    <t>Configurar conexión JDBC: clase DBConexion singleton con parámetros en config.properties (host, puerto, base, usuario, contraseña). Manejo de excepciones y log de error de conexión.</t>
  </si>
  <si>
    <t>Clase DBConexion funcional; parámetros en config.properties; test de conexión exitoso en consola.</t>
  </si>
  <si>
    <t>Bloqueante para todo el Modelo.</t>
  </si>
  <si>
    <t>IntelliJ IDEA</t>
  </si>
  <si>
    <t>2.5</t>
  </si>
  <si>
    <t>Crear diagrama de clases UML del Modelo (capa Model del MVC): clases Java con atributos, constructores, getters/setters y métodos DAO. Exportar como PNG.</t>
  </si>
  <si>
    <t>Diagrama de clases UML exportado como PNG; coherente con DER y clases Java.</t>
  </si>
  <si>
    <t>Requerido para Vista Lógica 4+1.</t>
  </si>
  <si>
    <t>2.6</t>
  </si>
  <si>
    <t>Implementar clases POJO/entidad Java: Producto, Proveedor, Equivalencia, Usuario, Rol, MovimientoInventario, Factura, ItemFactura. Atributos según DER, constructor vacío, constructor completo, getters y setters.</t>
  </si>
  <si>
    <t>8 clases Java compilando sin errores; atributos coinciden con columnas BD; Javadoc básico.</t>
  </si>
  <si>
    <t>Depende de 2.2 y 2.4.</t>
  </si>
  <si>
    <t>2.7</t>
  </si>
  <si>
    <t>Implementar DAOs: ProductoDAO, ProveedorDAO, EquivalenciaDAO, UsuarioDAO, MovimientoDAO. Métodos: insertar(), actualizar(), buscarPorId(), listarTodos(), eliminarPorId() con PreparedStatement.</t>
  </si>
  <si>
    <t>5 DAOs compilando; cada CRUD probado; sin SQL injection (PreparedStatement).</t>
  </si>
  <si>
    <t>UR-01,UR-02,UR-09,UR-10</t>
  </si>
  <si>
    <t>Depende de 2.4 y 2.6.</t>
  </si>
  <si>
    <t>Modelo</t>
  </si>
  <si>
    <t>3.1</t>
  </si>
  <si>
    <t>Implementar ServicioAutenticacion: autenticar(usuario, contraseña), validar contra BD, retornar objeto Usuario con rol o lanzar CredencialesInvalidasException. Gestionar sesión activa.</t>
  </si>
  <si>
    <t>Felipe Salas</t>
  </si>
  <si>
    <t>Login correcto retorna Usuario; login incorrecto lanza excepción; sesión en objeto SesionActual.</t>
  </si>
  <si>
    <t>UR-62,UR-63</t>
  </si>
  <si>
    <t>Depende de UsuarioDAO (2.7).</t>
  </si>
  <si>
    <t>3.2</t>
  </si>
  <si>
    <t>Implementar ServicioProducto: registrar(), modificar(), inactivar(), buscarPorSKU(), buscarPorNombre(), buscarPorCodigoBarras(), obtenerFicha(). Validar SKU único. Lanzar SKUDuplicadoException si existe.</t>
  </si>
  <si>
    <t>Todos los métodos funcionales; SKU duplicado lanza excepción; búsquedas retornan lista vacía si no hay resultados.</t>
  </si>
  <si>
    <t>UR-01,UR-02,UR-03,UR-04,UR-05,UR-06,UR-07</t>
  </si>
  <si>
    <t>Depende de ProductoDAO (2.7).</t>
  </si>
  <si>
    <t>3.3</t>
  </si>
  <si>
    <t>Implementar ServicioProveedor: registrar(), modificar(), buscarPorId(), listarTodos(). Registrar fecha/hora/usuario en modificaciones. Validar nombre único.</t>
  </si>
  <si>
    <t>CRUD proveedor funcional; nombre duplicado lanza excepción; modificación registra auditoría.</t>
  </si>
  <si>
    <t>UR-09,UR-10</t>
  </si>
  <si>
    <t>Depende de ProveedorDAO (2.7).</t>
  </si>
  <si>
    <t>3.4</t>
  </si>
  <si>
    <t>Implementar ServicioEquivalencia: registrarEquivalencia(), modificarEquivalencia(), consultarEquivalencias(filtro), buscarSKUporCodigo(). Validar duplicados antes de insertar.</t>
  </si>
  <si>
    <t>Duplicado lanza EquivalenciaDuplicadaException con mensaje correcto; búsqueda por filtro retorna lista filtrada.</t>
  </si>
  <si>
    <t>UR-11,UR-12,UR-13,UR-14,UR-15</t>
  </si>
  <si>
    <t>Depende de EquivalenciaDAO (2.7).</t>
  </si>
  <si>
    <t>3.5</t>
  </si>
  <si>
    <t>Implementar ServicioAjusteInventario: previsualizarAjuste(), confirmarAjuste(), cancelarAjuste(). Al confirmar: actualizar stock en BD, registrar movimiento con fecha/hora/usuario/stock anterior/nuevo.</t>
  </si>
  <si>
    <t>Previsualización retorna lista con stock actual y proyectado; confirmación actualiza BD y registra historial; cancelación no modifica BD.</t>
  </si>
  <si>
    <t>UR-38,UR-39,UR-40,UR-41,UR-42,UR-43,UR-44,UR-45</t>
  </si>
  <si>
    <t>Depende de 3.6 y MovimientoDAO.</t>
  </si>
  <si>
    <t>3.6</t>
  </si>
  <si>
    <t>Implementar ServicioImportacion: leerArchivoExcel() y leerArchivoCSV(). Validar columnas SKU/cantidad, valores numéricos, sin filas vacías, tamaño ≤ 10 MB. Detectar SKUs duplicados.</t>
  </si>
  <si>
    <t>Archivo válido retorna lista de items; archivo inválido retorna lista de errores con fila, columna y descripción.</t>
  </si>
  <si>
    <t>UR-33,UR-34,UR-35,UR-48,UR-49,UR-50,UR-51</t>
  </si>
  <si>
    <t>Requiere Apache POI en pom.xml.</t>
  </si>
  <si>
    <t>3.7</t>
  </si>
  <si>
    <t>Implementar ServicioHistorial: consultarMovimientos(filtros) por rango fechas, SKU y usuario. Retornar lista ordenada por fecha descendente.</t>
  </si>
  <si>
    <t>Con filtros retorna solo los que aplican; sin filtros retorna todos; lista vacía si no hay resultados.</t>
  </si>
  <si>
    <t>UR-47</t>
  </si>
  <si>
    <t>Depende de MovimientoDAO.</t>
  </si>
  <si>
    <t>3.8</t>
  </si>
  <si>
    <t>Implementar ServicioUsuario: crearUsuario(), modificarUsuario(), desactivarUsuario(), listarUsuarios(). Solo Administrador puede acceder. Contraseña con hash.</t>
  </si>
  <si>
    <t>CRUD usuarios funcional; contraseñas nunca en texto plano; acceso sin rol Admin lanza AccesoNoAutorizadoException.</t>
  </si>
  <si>
    <t>UR-63</t>
  </si>
  <si>
    <t>Depende de UsuarioDAO y 3.1.</t>
  </si>
  <si>
    <t>Vista</t>
  </si>
  <si>
    <t>4.1</t>
  </si>
  <si>
    <t>Crear VLogin (JFrame): campos Usuario y Contraseña, botón 'Iniciar sesión', label de error oculto por defecto. Logo y título del sistema en parte superior. Layout centrado.</t>
  </si>
  <si>
    <t>Ventana centrada 400×300px; campos, botón y label de error presentes; label oculto por defecto.</t>
  </si>
  <si>
    <t>Primera pantalla del sistema.</t>
  </si>
  <si>
    <t>IntelliJ IDEA + WindowBuilder</t>
  </si>
  <si>
    <t>4.2</t>
  </si>
  <si>
    <t>Crear VPrincipal (JFrame): JMenuBar con menús dinámicos según rol. Admin: Productos, Proveedores, Facturas, Inventario, Usuarios, Reportes. Bodeguero: sin Usuarios. Cajero: Venta, Inventario y Reportes. Botón 'Cerrar sesión'.</t>
  </si>
  <si>
    <t>Menú cambia según rol; 'Cerrar sesión' presente; ventana maximizada al abrir.</t>
  </si>
  <si>
    <t>Depende de VLogin.</t>
  </si>
  <si>
    <t>4.3</t>
  </si>
  <si>
    <t>Crear VFormularioProducto (JDialog): campos nombre, SKU, código de barras, unidad de medida (JComboBox), estado (JComboBox), stock actual. JList de proveedores. Botones 'Guardar', 'Cancelar', 'Inactivar'.</t>
  </si>
  <si>
    <t>Formulario con todos los campos; validación visual (campo vacío en rojo); botón Inactivar deshabilitado si producto es nuevo.</t>
  </si>
  <si>
    <t>UR-01,UR-02,UR-03,UR-07</t>
  </si>
  <si>
    <t>Depende de VPrincipal.</t>
  </si>
  <si>
    <t>4.4</t>
  </si>
  <si>
    <t>Crear VBuscadorProductos (JPanel): campo búsqueda, JComboBox tipo (SKU/Nombre/Código), botón 'Buscar', JTable resultados (SKU, Nombre, Stock, Estado). Doble clic abre VFormularioProducto en edición.</t>
  </si>
  <si>
    <t>Búsqueda con Enter o botón; JTable se actualiza; doble clic abre formulario.</t>
  </si>
  <si>
    <t>UR-04,UR-05,UR-06</t>
  </si>
  <si>
    <t>4.5</t>
  </si>
  <si>
    <t>Crear VGestionUsuarios (JPanel): JTable con columnas Usuario, Nombre, Rol, Estado. Botones 'Nuevo', 'Editar', 'Desactivar'. JDialog para crear/editar con campos usuario, contraseña, nombre, rol.</t>
  </si>
  <si>
    <t>Tabla muestra todos los usuarios; botones Editar/Desactivar requieren fila seleccionada; subformulario valida obligatorios.</t>
  </si>
  <si>
    <t>Solo visible para Admin.</t>
  </si>
  <si>
    <t>4.6</t>
  </si>
  <si>
    <t>Crear VAjusteInventario (JPanel, 3 pasos): Paso 1: JFileChooser + JComboBox modalidad. Paso 2: JTable previsualización (SKU, nombre, stock actual, cantidad, stock proyectado). Paso 3: botones 'Confirmar' y 'Cancelar'.</t>
  </si>
  <si>
    <t>Flujo 3 pasos funcional; tabla previsualización correcta; Confirmar/Cancelar solo en paso 3.</t>
  </si>
  <si>
    <t>UR-38,UR-39,UR-40,UR-41</t>
  </si>
  <si>
    <t>4.7</t>
  </si>
  <si>
    <t>Crear VHistorialMovimientos (JPanel): filtros por rango fechas, SKU y usuario. Botón 'Filtrar'. JTable con columnas tipo, fecha, hora, SKU, nombre, stock anterior, stock nuevo, usuario.</t>
  </si>
  <si>
    <t>Filtros funcionan; sin filtros muestra todos; JTable con scroll.</t>
  </si>
  <si>
    <t>4.8</t>
  </si>
  <si>
    <t>Crear VFormularioProveedor (JDialog): campos nombre, teléfono, correo. Sección equivalencias: JTable (Código interno, SKU) con botones 'Agregar', 'Editar', 'Eliminar'. Subdiálogo para agregar/editar equivalencia.</t>
  </si>
  <si>
    <t>Formulario con todos los campos; JTable de equivalencias editable; validación nombre único visual.</t>
  </si>
  <si>
    <t>UR-09,UR-10,UR-11,UR-12,UR-13,UR-14,UR-15</t>
  </si>
  <si>
    <t>Controlador</t>
  </si>
  <si>
    <t>5.1</t>
  </si>
  <si>
    <t>Implementar ControladorLogin: listener botón 'Iniciar sesión', llama ServicioAutenticacion.autenticar(), si exitoso abre VPrincipal con usuario y cierra VLogin, si falla muestra mensaje en label.</t>
  </si>
  <si>
    <t>Login exitoso abre VPrincipal; login fallido muestra 'Credenciales inválidas'; campo contraseña se limpia tras error.</t>
  </si>
  <si>
    <t>Depende de 3.1 y 4.1.</t>
  </si>
  <si>
    <t>5.2</t>
  </si>
  <si>
    <t>Implementar ControladorPrincipal: construye menú según rol del usuario, maneja 'Cerrar sesión' (limpia sesión y vuelve a VLogin), gestiona apertura de cada módulo desde el menú.</t>
  </si>
  <si>
    <t>Menú correcto para cada rol; cerrar sesión vuelve a VLogin; apertura de módulos funcional.</t>
  </si>
  <si>
    <t>Depende de 4.2 y 3.1.</t>
  </si>
  <si>
    <t>5.3</t>
  </si>
  <si>
    <t>Implementar ControladorProducto: guardar (crear o modificar según modo), buscar (puebla JTable), inactivar (confirmación + servicio). Poblar JComboBox proveedores al abrir formulario.</t>
  </si>
  <si>
    <t>Guardar crea si SKU no existe, modifica si existe; búsqueda &lt; 2s; inactivar pide confirmación.</t>
  </si>
  <si>
    <t>UR-01,UR-02,UR-03,UR-04,UR-05</t>
  </si>
  <si>
    <t>Depende de 3.2, 4.3 y 4.4.</t>
  </si>
  <si>
    <t>5.4</t>
  </si>
  <si>
    <t>Implementar ControladorProveedor: guardar proveedor, guardar/editar/eliminar equivalencia desde VFormularioProveedor. Validar duplicados y mostrar mensaje en pantalla.</t>
  </si>
  <si>
    <t>Proveedor guardado aparece en buscadores; equivalencia duplicada muestra mensaje correcto.</t>
  </si>
  <si>
    <t>UR-09,UR-10,UR-11,UR-12,UR-14,UR-15</t>
  </si>
  <si>
    <t>Depende de 3.3, 3.4 y 4.8.</t>
  </si>
  <si>
    <t>5.5</t>
  </si>
  <si>
    <t>Implementar ControladorUsuario: listar usuarios al abrir VGestionUsuarios, crear, editar y desactivar. Verificar rol Administrador antes de cualquier acción.</t>
  </si>
  <si>
    <t>Solo Admin puede acceder; crear/editar actualizan JTable en tiempo real; desactivar pide confirmación.</t>
  </si>
  <si>
    <t>Depende de 3.8 y 4.5.</t>
  </si>
  <si>
    <t>5.6</t>
  </si>
  <si>
    <t>Implementar ControladorAjusteInventario: selección archivo, llamar ServicioImportacion para leer y validar, poblar JTable previsualización, manejar confirmación y cancelación.</t>
  </si>
  <si>
    <t>Archivo inválido muestra errores; previsualización correcta; confirmación actualiza BD y muestra resumen; cancelación no modifica nada.</t>
  </si>
  <si>
    <t>UR-33,UR-34,UR-38,UR-39,UR-40,UR-41,UR-42</t>
  </si>
  <si>
    <t>Depende de 3.5, 3.6 y 4.6.</t>
  </si>
  <si>
    <t>5.7</t>
  </si>
  <si>
    <t>Implementar ControladorHistorial: aplicar filtros de fecha, SKU y usuario al hacer clic en 'Filtrar', poblar JTable con resultados, limpiar filtros con 'Limpiar'.</t>
  </si>
  <si>
    <t>Filtros funcionan individualmente y combinados; tabla actualiza al filtrar; sin filtros muestra todos.</t>
  </si>
  <si>
    <t>Depende de 3.7 y 4.7.</t>
  </si>
  <si>
    <t>Diagramas 4+1</t>
  </si>
  <si>
    <t>6.1</t>
  </si>
  <si>
    <t>Vista Lógica: diagrama de clases UML completo con entidades, servicios y controladores del Incremento 1. Atributos, métodos y relaciones (herencia, composición, dependencia). PNG + explicación 1 párrafo.</t>
  </si>
  <si>
    <t>Fabián Gómez</t>
  </si>
  <si>
    <t>Diagrama PNG fondo blanco; coherente con código; texto explicativo antes de la figura.</t>
  </si>
  <si>
    <t>Depende de que el código esté avanzado.</t>
  </si>
  <si>
    <t>6.2</t>
  </si>
  <si>
    <t>Vista de Procesos — Secuencia CU-01 (Registrando producto): actores, objetos Vista/Controlador/Modelo/BD, mensajes con nombres de métodos reales. PNG + explicación.</t>
  </si>
  <si>
    <t>Diagrama secuencia UML correcto; nombres de métodos coinciden con código; texto explicativo.</t>
  </si>
  <si>
    <t>UR-01,UR-02</t>
  </si>
  <si>
    <t>Depende de controladores y servicios definidos.</t>
  </si>
  <si>
    <t>6.3</t>
  </si>
  <si>
    <t>Vista de Procesos — Secuencia CU-04 (Gestionando usuarios): flujo completo de login, creación y desactivación de usuarios. PNG + explicación.</t>
  </si>
  <si>
    <t>Diagrama secuencia UML correcto; texto explicativo.</t>
  </si>
  <si>
    <t>Depende de controladores login y usuario.</t>
  </si>
  <si>
    <t>6.4</t>
  </si>
  <si>
    <t>Vista de Procesos — Secuencia CU-05 (Ajustando inventario): flujo desde selección archivo hasta confirmación y registro en historial. PNG + explicación.</t>
  </si>
  <si>
    <t>UR-38,UR-39,UR-40,UR-41,UR-42</t>
  </si>
  <si>
    <t>Depende de ControladorAjusteInventario.</t>
  </si>
  <si>
    <t>6.5</t>
  </si>
  <si>
    <t>Vista de Desarrollo — Diagrama de componentes UML: capas Vista (paquete view), Controlador (controller), Modelo/Servicio (service), DAO (dao), Entidades (model), Conexión BD. Dependencias entre capas. PNG + explicación.</t>
  </si>
  <si>
    <t>Diagrama componentes UML; fondo blanco; texto explicativo.</t>
  </si>
  <si>
    <t>Puede hacerse desde semana 1.</t>
  </si>
  <si>
    <t>6.6</t>
  </si>
  <si>
    <t>Vista Física — Diagrama de despliegue UML: nodo PC minimarket con app Java, nodo Servidor MySQL local, lector de código de barras como dispositivo. Artefactos y protocolo JDBC. PNG + explicación.</t>
  </si>
  <si>
    <t>Diagrama despliegue UML; fondo blanco; texto explicativo.</t>
  </si>
  <si>
    <t>6.7</t>
  </si>
  <si>
    <t>Árbol de navegación del sistema: desde VLogin hasta cada módulo, diferenciado por rol (Administrador/Bodeguero/Cajero). PNG.</t>
  </si>
  <si>
    <t>Diego Lobos</t>
  </si>
  <si>
    <t>Árbol con todas las pantallas; diferenciado por rol; exportado como PNG.</t>
  </si>
  <si>
    <t>Cuando las vistas estén definidas.</t>
  </si>
  <si>
    <t>draw.io / Figma</t>
  </si>
  <si>
    <t>6.8</t>
  </si>
  <si>
    <t>Redactar explicación textual de cada vista 4+1 en el documento Word: qué representa, por qué se eligió y cómo se relaciona con el incremento. Mínimo 1 párrafo por vista.</t>
  </si>
  <si>
    <t>5 vistas con texto introductorio + figura + fuente; textos claros y contextualizados.</t>
  </si>
  <si>
    <t>Última tarea de Fabián después de todos los diagramas.</t>
  </si>
  <si>
    <t>Scrum++</t>
  </si>
  <si>
    <t>7.1</t>
  </si>
  <si>
    <t>Elaborar Product Backlog List completo en Excel: 70 URs con columnas ID, Nombre, Categoría, Prioridad (1-4), Responsable, HH estimadas, Estado. Marcar cuáles pertenecen al Incremento 1.</t>
  </si>
  <si>
    <t>Excel con 70 filas de URs; columnas completas; URs del Incremento 1 marcados.</t>
  </si>
  <si>
    <t>Base para el Sprint Backlog.</t>
  </si>
  <si>
    <t>Excel</t>
  </si>
  <si>
    <t>7.2</t>
  </si>
  <si>
    <t>Elaborar tabla de esfuerzo (distribución diaria de HH): columnas = días del sprint (1–14 junio), filas = integrantes, celdas = HH del día. Máximo 2 HH/persona/día.</t>
  </si>
  <si>
    <t>Tabla con todos los días del sprint; HH distribuidas de forma realista; incluida en el documento.</t>
  </si>
  <si>
    <t>Usar Sprint Backlog como base.</t>
  </si>
  <si>
    <t>7.3</t>
  </si>
  <si>
    <t>Redactar actas de Daily Scrum #1 al #5 (08/06 al 12/06): fecha, hora, lugar, asistentes, ¿qué hice ayer?, ¿qué haré hoy?, ¿hay impedimentos? Una fila por integrante.</t>
  </si>
  <si>
    <t>5 actas con estructura completa; una fila por integrante; tono formal.</t>
  </si>
  <si>
    <t>Pueden redactarse en conjunto al final del sprint.</t>
  </si>
  <si>
    <t>7.4</t>
  </si>
  <si>
    <t>Redactar Sprint Review: asistentes, objetivos alcanzados y no alcanzados, capturas de pantalla de la demo, feedback del cliente, Product Backlog actualizado.</t>
  </si>
  <si>
    <t>Documento con todos los puntos; capturas del sistema; feedback documentado.</t>
  </si>
  <si>
    <t>Requiere sistema funcional para la demo.</t>
  </si>
  <si>
    <t>7.5</t>
  </si>
  <si>
    <t>Redactar Sprint Retrospective: qué salió bien, qué mejorar, plan de acción para el próximo sprint. Participación de todo el equipo.</t>
  </si>
  <si>
    <t>Documento con 3 secciones; tono constructivo; plan de mejora concreto.</t>
  </si>
  <si>
    <t>Después del Sprint Review.</t>
  </si>
  <si>
    <t>Pruebas</t>
  </si>
  <si>
    <t>8.1</t>
  </si>
  <si>
    <t>Diseñar casos de prueba CU-01: tabla con ID, precondición, pasos, dato de entrada, resultado esperado, resultado obtenido, estado. Mínimo 5 casos por operación (happy path + errores). Cubrir: registrar, modificar, buscar, inactivar.</t>
  </si>
  <si>
    <t>Tabla con mínimo 20 filas; incluye SKU duplicado, campos vacíos y búsqueda sin resultados.</t>
  </si>
  <si>
    <t>Diseñar antes de ejecutar.</t>
  </si>
  <si>
    <t>Word / Excel</t>
  </si>
  <si>
    <t>8.2</t>
  </si>
  <si>
    <t>Diseñar casos de prueba CU-04: login correcto, login usuario incorrecto, login contraseña incorrecta, crear usuario, editar, desactivar, acceso sin permisos.</t>
  </si>
  <si>
    <t>Mínimo 10 casos; incluye pruebas de control de acceso por rol.</t>
  </si>
  <si>
    <t>8.3</t>
  </si>
  <si>
    <t>Diseñar casos de prueba CU-05: importar Excel válido, CSV válido, SKU no encontrado, cantidades negativas, SKU duplicados, modalidad Sumar, modalidad Reemplazar, cancelar ajuste.</t>
  </si>
  <si>
    <t>Mínimo 15 casos; incluye validaciones de archivo y ambas modalidades.</t>
  </si>
  <si>
    <t>UR-38,UR-39,UR-40,UR-41,UR-42,UR-48,UR-49,UR-50,UR-51</t>
  </si>
  <si>
    <t>8.4</t>
  </si>
  <si>
    <t>Ejecutar pruebas CU-01 y documentar evidencia: correr cada caso de 8.1, completar resultado obtenido y estado, tomar captura de pantalla de cada prueba (exitosa y fallida).</t>
  </si>
  <si>
    <t>Tabla CU-01 completada; capturas por cada caso; errores encontrados registrados.</t>
  </si>
  <si>
    <t>Requiere código funcional CU-01.</t>
  </si>
  <si>
    <t>8.5</t>
  </si>
  <si>
    <t>Ejecutar pruebas CU-04 y documentar evidencia: misma dinámica que 8.4.</t>
  </si>
  <si>
    <t>Tabla CU-04 completada; capturas; errores registrados.</t>
  </si>
  <si>
    <t>Requiere código funcional CU-04.</t>
  </si>
  <si>
    <t>8.6</t>
  </si>
  <si>
    <t>Ejecutar pruebas CU-05 y documentar evidencia: misma dinámica que 8.4.</t>
  </si>
  <si>
    <t>Tabla CU-05 completada; capturas; errores registrados.</t>
  </si>
  <si>
    <t>Requiere código funcional CU-05.</t>
  </si>
  <si>
    <t>8.7</t>
  </si>
  <si>
    <t>Elaborar tabla resumen de evidencias en documento Word: por cada CU una tabla con ID prueba, descripción, resultado (PASS/FAIL) y captura de pantalla. Mínimo 3 evidencias por CU.</t>
  </si>
  <si>
    <t>Tabla resumen en documento; mínimo 3 capturas por CU; formato consistente.</t>
  </si>
  <si>
    <t>Depende de 8.4, 8.5 y 8.6.</t>
  </si>
  <si>
    <t>Entregables</t>
  </si>
  <si>
    <t>9.1</t>
  </si>
  <si>
    <t>Redactar documento Word del Incremento 1 completo: portada (integrantes por apellido), índice de contenidos, índice de figuras, índice de tablas, introducción, propuesta de solución, documentación Scrum++, vistas 4+1, evidencias de pruebas. Formato de rúbrica (Arial 12, márgenes 2.5cm, interlineado 1.5).</t>
  </si>
  <si>
    <t>Documento Word con todas las secciones; sin placeholders; formato correcto.</t>
  </si>
  <si>
    <t>Integración final de todos los entregables.</t>
  </si>
  <si>
    <t>9.2</t>
  </si>
  <si>
    <t>Insertar en documento Word todas las vistas 4+1, árbol de navegación y tablas de evidencias. Verificar numeración Capítulo.Correlativo, texto anterior que invoque cada figura y leyenda con fuente.</t>
  </si>
  <si>
    <t>Todas las figuras numeradas, referenciadas y con leyenda; sin figuras flotantes.</t>
  </si>
  <si>
    <t>Depende de que todos los diagramas estén listos.</t>
  </si>
  <si>
    <t>9.3</t>
  </si>
  <si>
    <t>Formato final documento Word: márgenes 2.5cm, fuente Arial 12, interlineado 1.5, paginación ángulo inferior derecho, cada capítulo en hoja nueva, títulos en mayúscula negrita, texto justificado.</t>
  </si>
  <si>
    <t>Documento sin errores de formato; paginación correcta.</t>
  </si>
  <si>
    <t>Última tarea antes de entregar.</t>
  </si>
  <si>
    <t>9.4</t>
  </si>
  <si>
    <t>Redactar documento de instalación: requisitos previos (JDK, MySQL versiones), pasos numerados, configuración config.properties, ejecución script SQL, cómo lanzar la aplicación. Con capturas de pantalla.</t>
  </si>
  <si>
    <t>Documento con pasos claros; un lector sin conocimiento previo puede instalar el sistema.</t>
  </si>
  <si>
    <t>Cuando el sistema esté funcional.</t>
  </si>
  <si>
    <t>9.5</t>
  </si>
  <si>
    <t>Grabar video de instalación (máx 3 min): paso a paso siguiendo el documento de instalación. Subir a carpeta de Drive del grupo.</t>
  </si>
  <si>
    <t>Video en Drive; duración ≤ 3 min; audio claro; instalación completa.</t>
  </si>
  <si>
    <t>Grabar con OBS Studio o Loom.</t>
  </si>
  <si>
    <t>OBS / Loom</t>
  </si>
  <si>
    <t>9.6</t>
  </si>
  <si>
    <t>Grabar video de funcionalidades (máx 5 min): recorrido por CU-01 (registrar, buscar, inactivar producto), CU-04 (login, crear usuario) y CU-05 (importar, previsualizar, confirmar ajuste). Narrar cada acción.</t>
  </si>
  <si>
    <t>Video en Drive; duración ≤ 5 min; muestra los 3 CUs; narración clara.</t>
  </si>
  <si>
    <t>9.7</t>
  </si>
  <si>
    <t>Crear presentación PPT (máx 7 min): portada con integrantes, índice, alcance 30% con tabla URs, traza Scrum++ (Product Backlog → Sprint Backlog → Sprint → Entregable), vistas 4+1 resumidas, enlace a demo.</t>
  </si>
  <si>
    <t>PPT con portada correcta; ≤ 15 diapositivas; diapositiva traza Scrum++ presente; enlace al video.</t>
  </si>
  <si>
    <t>Estilo formal, mismo formato Doc0.</t>
  </si>
  <si>
    <t>PowerPoint</t>
  </si>
  <si>
    <t>9.8</t>
  </si>
  <si>
    <t>Elaborar Excel de organización del trabajo (dos hojas: Documento 0 e Incremento 1): por cada capítulo/sección indicar quién redactó y quién revisó. Columnas: Documento, Capítulo/Sección, Responsable redacción, Responsable revisión, Estado.</t>
  </si>
  <si>
    <t>Excel con dos hojas; todas las secciones cubiertas; sin filas vacías.</t>
  </si>
  <si>
    <t>Requerido por la rúbrica.</t>
  </si>
  <si>
    <t>9.9</t>
  </si>
  <si>
    <t>Empaquetar código fuente en ZIP: archivos .java, pom.xml, config.properties, scripts SQL, archivos draw.io. Excluir target/, .idea/, .class. Verificar que el ZIP compile desde cero.</t>
  </si>
  <si>
    <t>ZIP sin carpetas de IDE ni binarios; proyecto compila desde cero con mvn package.</t>
  </si>
  <si>
    <t>Última tarea técnica antes de entregar.</t>
  </si>
  <si>
    <t>Terminal / Maven</t>
  </si>
  <si>
    <t>9.10</t>
  </si>
  <si>
    <t>Capturar historial de commits de Git: todos los integrantes con mínimo 3 commits descriptivos. Tomar captura del log (git log --oneline) mostrando todos los autores. Incluir en documento o Drive.</t>
  </si>
  <si>
    <t>Captura con ≥ 3 commits por integrante; mensajes descriptivos.</t>
  </si>
  <si>
    <t>CRÍTICO: el profesor puede reprobar a quien no tenga commits.</t>
  </si>
  <si>
    <t>Git / GitHub</t>
  </si>
  <si>
    <t>Documentación</t>
  </si>
  <si>
    <t>10.1</t>
  </si>
  <si>
    <t>Redactar sección Introducción del documento Incremento 1: contexto del proyecto, objetivo del incremento, alcance (24 URs prioridad 1, 34% del backlog), estructura del documento.</t>
  </si>
  <si>
    <t>Introducción de mínimo 3 párrafos; menciona objetivo, alcance y estructura.</t>
  </si>
  <si>
    <t>Puede hacerse desde el inicio.</t>
  </si>
  <si>
    <t>10.2</t>
  </si>
  <si>
    <t>Redactar sección Propuesta de Solución e Incremento: describir el incremento 1, cantidad de CUs implementados (CU-01, CU-04, CU-05), porcentaje parcial (34%) y porcentaje acumulado.</t>
  </si>
  <si>
    <t>Sección con tabla de CUs, porcentaje parcial y acumulado; texto de mínimo 2 párrafos.</t>
  </si>
  <si>
    <t>10.3</t>
  </si>
  <si>
    <t>Redactar descripción textual de los casos de uso CU-01, CU-04 y CU-05 para el documento: nombre (gerundio), actores, precondición, flujo normal, flujos alternativos, postcondición.</t>
  </si>
  <si>
    <t>3 casos de uso extendidos completos; formato tabla; todos los campos presentes.</t>
  </si>
  <si>
    <t>Revisar casos de uso del Doc0 para mantener coherencia.</t>
  </si>
  <si>
    <t>10.4</t>
  </si>
  <si>
    <t>Verificar checklist final antes de entregar: Doc0 corregido, Incremento 1, Sprint Backlog, BPMN, diagramas draw.io, videos, ZIP código, Excel organización, PPT, correo de aceptación. Todos los archivos en Drive con nombre correcto.</t>
  </si>
  <si>
    <t>Checklist completado; todos los archivos presentes y nombrados correctamente.</t>
  </si>
  <si>
    <t>24 horas antes de la entrega (13/06).</t>
  </si>
  <si>
    <t>Drive</t>
  </si>
  <si>
    <t>10.5</t>
  </si>
  <si>
    <t>Enviar correo al profesor con enlace de Drive. Asunto exacto: 'Ingeniería de Software – Grupo 20'. Solo el jefe de proyecto (Martín Pérez) envía. Verificar permisos de visualización del link.</t>
  </si>
  <si>
    <t>Correo enviado antes del 14/06 23:59; asunto correcto; enlace funcional.</t>
  </si>
  <si>
    <t>Deadline: domingo 14 de junio 23:59.</t>
  </si>
  <si>
    <t>Gmail / Outlook</t>
  </si>
  <si>
    <t>Extender ServicioProveedor: implementar modificación completa del proveedor (nombre, teléfono, correo) registrando fecha, hora y usuario responsable de cada cambio.</t>
  </si>
  <si>
    <t>Modificación de proveedor persiste cambios; registro de auditoría (fecha/hora/usuario) queda guardado.</t>
  </si>
  <si>
    <t>UR-10</t>
  </si>
  <si>
    <t>Depende del ServicioProveedor base del Incremento 1.</t>
  </si>
  <si>
    <t>Implementar ServicioEquivalencia completo: registrar código interno de proveedor, mapear código interno a un único SKU, consultar equivalencias con filtro (proveedor/código/SKU), modificar y validar duplicados.</t>
  </si>
  <si>
    <t>Registro y modificación funcionan; duplicado lanza EquivalenciaDuplicadaException con mensaje correcto; consulta filtrada retorna resultados correctos.</t>
  </si>
  <si>
    <t>Depende de EquivalenciaDAO (Incremento 1).</t>
  </si>
  <si>
    <t>Implementar ServicioFactura: registrar factura (número, fecha, proveedor, usuario), consultar con filtros por número/proveedor/rango de fechas, validar número único por proveedor y gestionar estados Pendiente/Procesada/Observada.</t>
  </si>
  <si>
    <t>Número duplicado por proveedor es rechazado con mensaje correcto; consulta con filtros retorna resultados esperados; cambio a Procesada vincula movimientos de forma permanente.</t>
  </si>
  <si>
    <t>UR-17,UR-18,UR-19</t>
  </si>
  <si>
    <t>Requiere tabla factura e item_factura (DER Incremento 1).</t>
  </si>
  <si>
    <t>Implementar ServicioProcesamientoFactura: registrar/corregir manualmente la equivalencia de un ítem Observado, reprocesar factura ejecutando nuevamente la búsqueda de equivalencias, y generar resumen de procesamiento (leídos, válidos, observados, no procesados).</t>
  </si>
  <si>
    <t>Corrección manual solo disponible para Administrador; reproceso recalcula todos los ítems; resumen muestra los 4 totales correctos.</t>
  </si>
  <si>
    <t>UR-26,UR-27,UR-28</t>
  </si>
  <si>
    <t>Depende de ServicioEquivalencia (1.2) y lectura de factura del Incremento 1.</t>
  </si>
  <si>
    <t>Extender ServicioImportacion: validar que el archivo Excel/CSV contenga las columnas SKU y cantidad en la primera fila, validar la estructura completa antes de cualquier actualización y generar listado de errores de formato (fila, columna, descripción).</t>
  </si>
  <si>
    <t>Archivo sin columnas correctas se rechaza con el mensaje definido; validación se ejecuta antes de tocar el inventario; errores listados con fila y columna.</t>
  </si>
  <si>
    <t>UR-31,UR-32,UR-33,UR-34,UR-35</t>
  </si>
  <si>
    <t>Extiende ServicioImportacion base (Incremento 1). Apache POI.</t>
  </si>
  <si>
    <t>Implementar validaciones de ServicioAjusteInventario: verificar existencia de cada SKU, verificar que la cantidad sea numérica, rechazar cantidades negativas salvo 'Corrección autorizada' por Administrador, y detectar SKU duplicados dentro del archivo.</t>
  </si>
  <si>
    <t>SKU inexistente se excluye y se reporta; cantidad no numérica se excluye y se reporta; negativos solo pasan con Corrección autorizada; duplicados se listan con número de filas.</t>
  </si>
  <si>
    <t>UR-48,UR-49,UR-50,UR-51,UR-52</t>
  </si>
  <si>
    <t>Depende de 1.5 y ServicioAjusteInventario (Incremento 1).</t>
  </si>
  <si>
    <t>Implementar control de reprocesamiento y reporte de errores unificado: bloquear reproceso automático de una factura Procesada, requerir autorización explícita de Administrador, y generar reporte de errores por cada procesamiento o importación con errores.</t>
  </si>
  <si>
    <t>Factura Procesada muestra mensaje 'Factura ya procesada anteriormente'; reproceso solo con confirmación de Administrador; reporte de errores incluye ítem/fila, código/SKU y descripción.</t>
  </si>
  <si>
    <t>UR-53,UR-54,UR-55</t>
  </si>
  <si>
    <t>Depende de 1.3 y 1.4.</t>
  </si>
  <si>
    <t>Extender VFormularioProveedor: completar sección de equivalencias (agregar, editar, eliminar código interno–SKU) con validación visual de duplicados en el subdiálogo.</t>
  </si>
  <si>
    <t>JTable de equivalencias editable; intento de duplicado se marca en rojo con mensaje; guardar persiste los cambios.</t>
  </si>
  <si>
    <t>UR-11,UR-12,UR-14,UR-15</t>
  </si>
  <si>
    <t>Depende de VFormularioProveedor (Incremento 1).</t>
  </si>
  <si>
    <t>Crear VConsultaEquivalencias (JPanel): filtro por nombre de proveedor, código interno o SKU; tabla de resultados de tres columnas (proveedor, código interno, SKU).</t>
  </si>
  <si>
    <t>Filtro por cualquiera de los 3 criterios funciona; tabla muestra exactamente 3 columnas.</t>
  </si>
  <si>
    <t>UR-13</t>
  </si>
  <si>
    <t>Crear VFacturas (JPanel): formulario de registro de factura (número, fecha, proveedor, modalidad de ingreso de ítems) y módulo de consulta con filtros por número, proveedor y rango de fechas.</t>
  </si>
  <si>
    <t>Registro exige los campos obligatorios; consulta con filtros combinados retorna resultados correctos; selección de factura muestra cabecera, ítems, estado y adjunto.</t>
  </si>
  <si>
    <t>Crear VProcesamientoFactura (JDialog): detalle de la factura en proceso, ítems Observados listados de forma diferenciada, botón para corregir equivalencia manual y botón 'Reprocesar', panel de resumen de procesamiento.</t>
  </si>
  <si>
    <t>Ítems observados se muestran en sección aparte; botón corregir equivalencia visible solo para Administrador; resumen muestra los 4 totales.</t>
  </si>
  <si>
    <t>Depende de VFacturas (2.3).</t>
  </si>
  <si>
    <t>Extender VAjusteInventario: agregar detección visual de SKU duplicados (resaltado + resolución consolidar/rechazar), listado de errores de estructura por fila/columna y checkbox 'Corrección autorizada' para Administrador.</t>
  </si>
  <si>
    <t>SKU duplicados se resaltan y bloquean 'Confirmar' hasta resolverse; errores de estructura se listan con fila y columna; checkbox solo habilitado para Administrador.</t>
  </si>
  <si>
    <t>UR-33,UR-35,UR-48,UR-49,UR-50,UR-51,UR-52</t>
  </si>
  <si>
    <t>Depende de VAjusteInventario (Incremento 1).</t>
  </si>
  <si>
    <t>Crear VReporteErrores (JPanel reutilizable): listado de errores de importación o procesamiento con número de ítem/fila, código o SKU involucrado y descripción del error.</t>
  </si>
  <si>
    <t>Componente reutilizable desde importación y procesamiento de factura; columnas completas y ordenadas.</t>
  </si>
  <si>
    <t>UR-55</t>
  </si>
  <si>
    <t>Depende de 1.7.</t>
  </si>
  <si>
    <t>Extender ControladorProveedor: manejar guardar/editar/eliminar equivalencia desde VFormularioProveedor y VConsultaEquivalencias, validando duplicados y mostrando el mensaje en pantalla.</t>
  </si>
  <si>
    <t>Equivalencia guardada aparece en la consulta; duplicado muestra el mensaje definido sin persistir.</t>
  </si>
  <si>
    <t>Depende de 1.2, 2.1 y 2.2.</t>
  </si>
  <si>
    <t>Implementar ControladorFactura: guardar factura, validar número duplicado por proveedor, aplicar filtros de consulta y gestionar el cambio de estado de la factura.</t>
  </si>
  <si>
    <t>Guardar rechaza número duplicado con el mensaje correcto; filtros de consulta actualizan la tabla; cambio de estado a Procesada crea el vínculo con los movimientos.</t>
  </si>
  <si>
    <t>Depende de 1.3 y 2.3.</t>
  </si>
  <si>
    <t>Implementar ControladorProcesamientoFactura: ejecutar la búsqueda de equivalencia SKU por ítem, marcar ítems sin equivalencia como Observados, manejar reproceso y mostrar el resumen final.</t>
  </si>
  <si>
    <t>Ítems con equivalencia muestran SKU; ítems sin equivalencia quedan Observados; reproceso actualiza la lista completa; resumen se muestra al finalizar.</t>
  </si>
  <si>
    <t>Depende de 1.4 y 2.4.</t>
  </si>
  <si>
    <t>Extender ControladorAjusteInventario: validar la estructura del archivo antes de previsualizar, bloquear la confirmación mientras existan SKU duplicados sin resolver, y bloquear el reproceso de una factura Procesada sin autorización de Administrador.</t>
  </si>
  <si>
    <t>Archivo inválido no llega a previsualización; 'Confirmar' deshabilitado con duplicados pendientes; reproceso de factura Procesada requiere confirmación explícita de Administrador.</t>
  </si>
  <si>
    <t>UR-33,UR-34,UR-48,UR-49,UR-50,UR-51,UR-52,UR-53,UR-54,UR-55</t>
  </si>
  <si>
    <t>Depende de 1.5, 1.6, 1.7, 2.5 y 3.3.</t>
  </si>
  <si>
    <t>Vista Lógica: actualizar el diagrama de clases UML incorporando ServicioFactura, ServicioProcesamientoFactura, ServicioEquivalencia completo y sus controladores/vistas del Incremento 2. PNG + explicación.</t>
  </si>
  <si>
    <t>Fabian Gomez</t>
  </si>
  <si>
    <t>Diagrama PNG fondo blanco; coherente con el código del Incremento 2; texto explicativo antes de la figura.</t>
  </si>
  <si>
    <t>Depende de que el código del Incremento 2 esté avanzado.</t>
  </si>
  <si>
    <t>Vista de Procesos — Secuencia: Gestionando proveedor y equivalencias. Actores, objetos Vista/Controlador/Modelo/BD, mensajes con nombres de métodos reales. PNG + explicación.</t>
  </si>
  <si>
    <t>Nicolas Lopez</t>
  </si>
  <si>
    <t>Diagrama de secuencia UML correcto; nombres de métodos coinciden con el código; texto explicativo.</t>
  </si>
  <si>
    <t>UR-10,UR-11,UR-12,UR-13,UR-14,UR-15</t>
  </si>
  <si>
    <t>Depende de 3.1.</t>
  </si>
  <si>
    <t>Vista de Procesos — Secuencia: Registrando y consultando factura. PNG + explicación.</t>
  </si>
  <si>
    <t>Matias Ale</t>
  </si>
  <si>
    <t>Diagrama de secuencia UML correcto; texto explicativo.</t>
  </si>
  <si>
    <t>Depende de 3.2.</t>
  </si>
  <si>
    <t>Vista de Procesos — Secuencia: Procesando factura (búsqueda de equivalencia, ítems observados, reproceso). PNG + explicación.</t>
  </si>
  <si>
    <t>Depende de 3.3.</t>
  </si>
  <si>
    <t>Vista de Procesos — Secuencia: Importando y validando archivo de inventario (estructura, SKU/cantidad, duplicados). PNG + explicación.</t>
  </si>
  <si>
    <t>UR-31,UR-32,UR-33,UR-34,UR-35,UR-48,UR-49,UR-50,UR-51,UR-52</t>
  </si>
  <si>
    <t>Depende de 3.4.</t>
  </si>
  <si>
    <t>Actualizar árbol de navegación del sistema y redactar la explicación textual de cada vista 4+1 nueva del Incremento 2 en el documento Word (qué representa, por qué se eligió, relación con el incremento).</t>
  </si>
  <si>
    <t>Árbol de navegación actualizado incluye las pantallas nuevas; cada vista 4+1 nueva tiene texto introductorio + figura + fuente.</t>
  </si>
  <si>
    <t>Última tarea de esta categoría, depende de 4.1 a 4.5.</t>
  </si>
  <si>
    <t>draw.io / Word</t>
  </si>
  <si>
    <t>Actualizar el Product Backlog List en Excel marcando los 25 URs de prioridad 2 (UR-10 a UR-55) como parte del Incremento 2.</t>
  </si>
  <si>
    <t>Integrante 7</t>
  </si>
  <si>
    <t>Excel actualizado; los 25 URs quedan marcados con su incremento correspondiente.</t>
  </si>
  <si>
    <t>Usar el Product Backlog del Incremento 1 como base.</t>
  </si>
  <si>
    <t>Elaborar el Sprint Backlog del Incremento 2 y la tabla de esfuerzo (distribución diaria de HH, 24/08 al 13/09), máximo 2 HH/persona/día.</t>
  </si>
  <si>
    <t>Sprint Backlog con las tareas de este documento; tabla de esfuerzo cubre todos los días del sprint con HH realistas.</t>
  </si>
  <si>
    <t>Este mismo archivo Excel sirve de base.</t>
  </si>
  <si>
    <t>Redactar las actas de Daily Scrum del sprint (una por cada día de trabajo efectivo entre el 24/08 y el 12/09): fecha, hora, lugar, asistentes, qué hice ayer, qué haré hoy, impedimentos.</t>
  </si>
  <si>
    <t>Actas con estructura completa; una fila por integrante en cada acta; tono formal.</t>
  </si>
  <si>
    <t>Pueden redactarse en conjunto durante el sprint.</t>
  </si>
  <si>
    <t>Redactar el Sprint Review del Incremento 2: asistentes, objetivos alcanzados y no alcanzados, capturas de la demo, feedback del cliente, Product Backlog actualizado.</t>
  </si>
  <si>
    <t>Documento con todos los puntos; capturas del sistema funcionando; feedback documentado.</t>
  </si>
  <si>
    <t>Requiere el sistema del Incremento 2 funcional para la demo.</t>
  </si>
  <si>
    <t>Redactar el Sprint Retrospective del Incremento 2: qué salió bien, qué mejorar, plan de acción para el próximo incremento. Participación de todo el equipo.</t>
  </si>
  <si>
    <t>Documento con las 3 secciones; tono constructivo; plan de mejora concreto.</t>
  </si>
  <si>
    <t>Después del Sprint Review (5.4).</t>
  </si>
  <si>
    <t>Diseñar y ejecutar casos de prueba de Gestión de proveedores y equivalencias: modificar proveedor, registrar/modificar/consultar equivalencia, equivalencia duplicada. Documentar evidencia con capturas.</t>
  </si>
  <si>
    <t>Mínimo 12 casos, incluye duplicados y campos vacíos; capturas de cada caso (exitoso y fallido); estado PASS/FAIL registrado.</t>
  </si>
  <si>
    <t>Requiere código funcional de 1.1, 1.2, 2.1, 2.2, 3.1.</t>
  </si>
  <si>
    <t>Word / Excel / IntelliJ IDEA</t>
  </si>
  <si>
    <t>Diseñar y ejecutar casos de prueba de Registro y consulta de facturas: número duplicado, filtros de consulta, cambio de estados. Documentar evidencia con capturas.</t>
  </si>
  <si>
    <t>Integrante 5</t>
  </si>
  <si>
    <t>Mínimo 8 casos; capturas de cada caso; estado PASS/FAIL registrado.</t>
  </si>
  <si>
    <t>Requiere código funcional de 1.3, 2.3, 3.2.</t>
  </si>
  <si>
    <t>Diseñar y ejecutar casos de prueba de Procesamiento de factura: corrección manual de equivalencia, reproceso, resumen de procesamiento. Documentar evidencia con capturas.</t>
  </si>
  <si>
    <t>Integrante 1</t>
  </si>
  <si>
    <t>Requiere código funcional de 1.4, 2.4, 3.3.</t>
  </si>
  <si>
    <t>Diseñar y ejecutar casos de prueba de Importación y validación de archivos: estructura inválida, SKU no encontrado, cantidad no numérica, negativos, SKU duplicados, reprocesamiento bloqueado. Documentar evidencia con capturas.</t>
  </si>
  <si>
    <t>Integrante 3</t>
  </si>
  <si>
    <t>Mínimo 15 casos; incluye todas las validaciones de UR-48 a UR-55; capturas de cada caso; estado PASS/FAIL registrado.</t>
  </si>
  <si>
    <t>UR-31,UR-32,UR-33,UR-34,UR-35,UR-48,UR-49,UR-50,UR-51,UR-52,UR-53,UR-54,UR-55</t>
  </si>
  <si>
    <t>Requiere código funcional de 1.5, 1.6, 1.7, 2.5, 3.4.</t>
  </si>
  <si>
    <t>Elaborar la tabla resumen de evidencias del Incremento 2 en el documento Word: por cada módulo, una tabla con ID de prueba, descripción, resultado y captura de pantalla.</t>
  </si>
  <si>
    <t>Integrante 6</t>
  </si>
  <si>
    <t>Tabla resumen por módulo; mínimo 3 evidencias por módulo; formato consistente con el Incremento 1.</t>
  </si>
  <si>
    <t>Depende de 6.1, 6.2, 6.3 y 6.4.</t>
  </si>
  <si>
    <t>Redactar el documento Word del Incremento 2 completo: portada, índice de contenidos/figuras/tablas, introducción, propuesta de solución, documentación Scrum++, vistas 4+1, evidencias de pruebas. Formato de rúbrica.</t>
  </si>
  <si>
    <t>Documento con todas las secciones; sin placeholders; formato Arial 12, márgenes 2.5cm, interlineado 1.5.</t>
  </si>
  <si>
    <t>Integración final de todos los entregables del Incremento 2.</t>
  </si>
  <si>
    <t>Insertar en el documento Word todos los diagramas 4+1, árbol de navegación y tablas de evidencias del Incremento 2. Verificar numeración Capítulo.Correlativo, texto que invoque cada figura y leyenda con fuente.</t>
  </si>
  <si>
    <t>Todas las figuras numeradas, referenciadas en el texto y con leyenda; sin figuras flotantes.</t>
  </si>
  <si>
    <t>Depende de que todos los diagramas (4.1 a 4.6) estén listos.</t>
  </si>
  <si>
    <t>Formato final del documento del Incremento 2: márgenes 2.5cm, fuente Arial 12, interlineado 1.5, paginación, cada sección en hoja nueva, títulos en mayúscula negrita, texto justificado.</t>
  </si>
  <si>
    <t>Grabar video de funcionalidades del Incremento 2 (máx 5 min): recorrido por gestión de equivalencias, registro/consulta de factura, procesamiento de factura e importación/validación de archivo. Narrar cada acción.</t>
  </si>
  <si>
    <t>Video en Drive; duración ≤ 5 min; muestra los 4 módulos del incremento; narración clara.</t>
  </si>
  <si>
    <t>Cuando el sistema del Incremento 2 esté funcional.</t>
  </si>
  <si>
    <t>Crear presentación PPT del Incremento 2 (máx 7 min): portada, índice, alcance con tabla de URs de prioridad 2, traza Scrum++, vistas 4+1 resumidas, enlace a la demo.</t>
  </si>
  <si>
    <t>PPT con portada correcta; ≤ 15 diapositivas; diapositiva de traza Scrum++ presente; enlace al video.</t>
  </si>
  <si>
    <t>Mismo formato que el PPT del Incremento 1.</t>
  </si>
  <si>
    <t>7.6</t>
  </si>
  <si>
    <t>Actualizar el Excel de organización del trabajo agregando la hoja del Incremento 2: por cada tarea, responsable, HH estimadas, estado y fechas.</t>
  </si>
  <si>
    <t>Erick Hernandez</t>
  </si>
  <si>
    <t>Excel con la hoja del Incremento 2 completa; sin filas vacías.</t>
  </si>
  <si>
    <t>Este mismo archivo.</t>
  </si>
  <si>
    <t>7.7</t>
  </si>
  <si>
    <t>Empaquetar el código fuente actualizado del Incremento 2 en ZIP: archivos .java, pom.xml, config.properties, scripts SQL si cambiaron, archivos draw.io. Verificar que compile desde cero.</t>
  </si>
  <si>
    <t>ZIP sin carpetas de IDE ni binarios; el proyecto compila desde cero con mvn package.</t>
  </si>
  <si>
    <t>7.8</t>
  </si>
  <si>
    <t>Capturar el historial de commits de Git del Incremento 2: todos los integrantes con mínimo 3 commits descriptivos adicionales. Captura del log mostrando todos los autores.</t>
  </si>
  <si>
    <t>Captura con ≥ 3 commits adicionales por integrante; mensajes descriptivos.</t>
  </si>
  <si>
    <t>CRÍTICO: registrar aporte individual de cada integrante.</t>
  </si>
  <si>
    <t>7.9</t>
  </si>
  <si>
    <t>Actualizar el documento de instalación y grabar un nuevo video de instalación si cambió la configuración, dependencias o pasos de despliegue en el Incremento 2 (o confirmar explícitamente que sigue vigente el del Incremento 1).</t>
  </si>
  <si>
    <t>Documento de instalación vigente o actualizado; video en Drive ≤ 3 min si hubo cambios; nota indicando 'sin cambios' si no aplica.</t>
  </si>
  <si>
    <t>La rúbrica exige video de instalación por cada entrega.</t>
  </si>
  <si>
    <t>Word / OBS / Loom</t>
  </si>
  <si>
    <t>7.10</t>
  </si>
  <si>
    <t>Grabar el video separado de la presentación y demo del día de exposición del Incremento 2 (distinto del video de funcionalidades), mostrando la presentación PPT y la demo en vivo del sistema.</t>
  </si>
  <si>
    <t>Integrante 4</t>
  </si>
  <si>
    <t>Video en Drive de la presentación + demo del día de exposición, subido de forma independiente al video de funcionalidades.</t>
  </si>
  <si>
    <t>La rúbrica exige un video separado por cada entrega, grabado el día de la presentación.</t>
  </si>
  <si>
    <t>Redactar la sección Introducción del Incremento 2: contexto, objetivo del incremento, alcance (25 URs prioridad 2), estructura del documento.</t>
  </si>
  <si>
    <t>Puede hacerse desde el inicio del sprint.</t>
  </si>
  <si>
    <t>Redactar la sección Propuesta de Solución e Incremento 2: describir el incremento, módulos/CUs implementados, porcentaje parcial y porcentaje acumulado del backlog.</t>
  </si>
  <si>
    <t>Sección con tabla de módulos/CUs, porcentaje parcial y acumulado; mínimo 2 párrafos.</t>
  </si>
  <si>
    <t>Redactar la descripción textual extendida de los casos de uso del Incremento 2 para el documento: nombre (gerundio), actores, precondición, flujo normal, flujos alternativos, postcondición.</t>
  </si>
  <si>
    <t>Casos de uso extendidos completos para los 4 módulos del incremento; formato tabla; todos los campos presentes.</t>
  </si>
  <si>
    <t>UR-10 a UR-55 (subconjunto de prioridad 2)</t>
  </si>
  <si>
    <t>Revisar casos de uso del Incremento 1 para mantener coherencia.</t>
  </si>
  <si>
    <t>Verificar checklist final antes de entregar: documento Incremento 2, Sprint Backlog, diagramas draw.io, video, ZIP de código, Excel de organización, PPT. Todos los archivos en Drive con nombre correcto.</t>
  </si>
  <si>
    <t>24 horas antes de la entrega (13/09).</t>
  </si>
  <si>
    <t>Enviar correo al profesor con el enlace de Drive. Asunto exacto acordado por el equipo. Solo el jefe de proyecto envía. Verificar permisos de visualización del enlace.</t>
  </si>
  <si>
    <t>Integrante 2</t>
  </si>
  <si>
    <t>Correo enviado antes del 13/09 23:59; asunto correcto; enlace funcional.</t>
  </si>
  <si>
    <t>Deadline: domingo 13 de septiembre 23:59.</t>
  </si>
  <si>
    <t>Retroalimentación Inc. 2</t>
  </si>
  <si>
    <t>Revisar la retroalimentación y observaciones recibidas sobre el Incremento 2 (comentarios del profesor y/o pauta de corrección) y contrastarlas con el Sprint Retrospective del Incremento 2, elaborando un listado priorizado de acciones correctivas para el Incremento 3.</t>
  </si>
  <si>
    <t>Listo</t>
  </si>
  <si>
    <t>Listado de acciones correctivas con al menos 3 puntos, cada uno con responsable tentativo; referencia explícita a la retroalimentación del profesor o, en su defecto, a la Retrospectiva del Incremento 2.</t>
  </si>
  <si>
    <t>Si la retroalimentación formal del profesor aún no llega, usar como base el Sprint Retrospective del Incremento 2 (documento Incremento 2, sección Scrum++).</t>
  </si>
  <si>
    <t>Incorporar las acciones correctivas identificadas en 1.1 a la planificación del Incremento 3 (Product Backlog y este Sprint Backlog) y dejar registro explícito de qué cambió respecto al Incremento 2.</t>
  </si>
  <si>
    <t>Cada acción correctiva queda vinculada a una tarea o nota del Sprint Backlog del Incremento 3; el documento Word incluye un párrafo "Cambios respecto al Incremento 2".</t>
  </si>
  <si>
    <t>Depende de 1.1.</t>
  </si>
  <si>
    <t>Implementar ServicioExportacion (nuevo): exportarItemsValidos(lista, formato) genera un archivo con las columnas SKU y cantidad a partir de la lista de ítems válidos de una importación o ajuste, en formato Excel (Apache POI) y CSV.</t>
  </si>
  <si>
    <t>Exportación a Excel y a CSV generan archivos válidos y abribles; columnas SKU y cantidad correctas; nombre de archivo incluye fecha/hora.</t>
  </si>
  <si>
    <t>UR-25</t>
  </si>
  <si>
    <t>Depende de ServicioImportacion y ServicioAjusteInventario (Incremento 1 y 2). Requiere Apache POI (ya incluido en pom.xml).</t>
  </si>
  <si>
    <t>Implementar ServicioAuditoria (nuevo) y tabla auditoria_archivo (fecha, hora, usuario, nombre de archivo, tipo de operación): registrarEvento(tipoOperacion, usuario, nombreArchivo). Crear AuditoriaDAO e integrar la llamada en ServicioImportacion y ServicioExportacion.</t>
  </si>
  <si>
    <t>Cada importación y exportación genera un registro de auditoría persistido; una consulta directa a la tabla confirma fecha/hora/usuario/archivo correctos.</t>
  </si>
  <si>
    <t>UR-37</t>
  </si>
  <si>
    <t>Requiere script SQL para la tabla auditoria_archivo (agregar a los scripts del proyecto). Depende de 2.1 para integrarse con la exportación.</t>
  </si>
  <si>
    <t>IntelliJ IDEA / MySQL Workbench</t>
  </si>
  <si>
    <t>Extender ServicioAjusteInventario: revertirAjuste(idMovimiento) — valida que el usuario tenga rol Administrador, recupera el stock anterior desde MovimientoDAO, restaura el stock del producto y registra un nuevo movimiento tipo "Reversión" referenciando el ajuste revertido.</t>
  </si>
  <si>
    <t>Reversión exitosa deja el stock igual al valor previo al ajuste; usuario sin rol Administrador recibe AccesoNoAutorizadoException; queda un nuevo movimiento tipo Reversión en el historial.</t>
  </si>
  <si>
    <t>UR-46</t>
  </si>
  <si>
    <t>Depende de ServicioAjusteInventario y MovimientoDAO (Incremento 1) y de ServicioUsuario para validar el rol (Incremento 1).</t>
  </si>
  <si>
    <t>Extender ServicioHistorial: asegurar que consultarMovimientos() retorne tipo, fecha, hora, usuario, SKU, stock anterior y stock resultante en todos los movimientos; agregar obtenerUltimosMovimientos(sku, 10) ordenado por fecha descendente.</t>
  </si>
  <si>
    <t>La consulta general retorna los 6 campos requeridos sin nulos; obtenerUltimosMovimientos retorna máximo 10 filas y nunca más que los movimientos reales existentes.</t>
  </si>
  <si>
    <t>UR-47,UR-56</t>
  </si>
  <si>
    <t>Depende de ServicioHistorial y MovimientoDAO (Incremento 1). Revisar consistencia con lo ya implementado como UR-47 en el Incremento 1.</t>
  </si>
  <si>
    <t>Implementar ServicioReportes (nuevo): reporteStock() (productos activos con stock actual), reporteEquivalenciasFaltantes() (códigos de proveedor sin SKU asociado), reporteFacturas(estado, fechaInicio, fechaFin), reporteMovimientos(fechaInicio, fechaFin).</t>
  </si>
  <si>
    <t>Los 4 métodos retornan listas correctas contra datos de prueba conocidos; los filtros de facturas y movimientos combinan estado/rango de fechas correctamente; el reporte de equivalencias solo incluye códigos sin SKU asociado.</t>
  </si>
  <si>
    <t>UR-57,UR-58,UR-59,UR-60</t>
  </si>
  <si>
    <t>Depende de ServicioProducto, ServicioEquivalencia (Incremento 2), ServicioFactura (Incremento 2) y ServicioHistorial.</t>
  </si>
  <si>
    <t>Integrar ServicioExportacion (2.1) con ServicioReportes (2.5): exportarReporteExcel(tipoReporte, datos) para los 4 reportes de RF-57 a RF-60, reutilizando el motor Apache POI y registrando auditoría de cada exportación mediante ServicioAuditoria (2.2).</t>
  </si>
  <si>
    <t>Cada uno de los 4 reportes se exporta a un archivo Excel legible con encabezados correctos; cada exportación genera su registro de auditoría.</t>
  </si>
  <si>
    <t>UR-61</t>
  </si>
  <si>
    <t>Depende de 2.1, 2.2 y 2.5.</t>
  </si>
  <si>
    <t>Extender la vista de ajuste/importación de inventario (VAjusteInventario): agregar botón "Exportar ítems válidos" tras la previsualización, con JFileChooser para elegir formato (Excel/CSV) y carpeta destino.</t>
  </si>
  <si>
    <t>Botón visible tras previsualizar un archivo válido; selector de formato funcional; confirmación visual al finalizar la exportación.</t>
  </si>
  <si>
    <t>Depende de VAjusteInventario (Incremento 1) y de 2.1.</t>
  </si>
  <si>
    <t>Crear VRevertirAjuste (JDialog) o extender VHistorialMovimientos: botón "Revertir" visible solo para Administrador junto a movimientos de tipo ajuste, con diálogo de confirmación mostrando el detalle del movimiento a revertir.</t>
  </si>
  <si>
    <t>Botón oculto/deshabilitado para roles distintos de Administrador; la confirmación muestra SKU, cantidad y fecha del ajuste antes de revertir; mensaje de éxito o error visible.</t>
  </si>
  <si>
    <t>Depende de VHistorialMovimientos (Incremento 1) y de 2.3.</t>
  </si>
  <si>
    <t>Crear VConsultaStockHistorial (JPanel): buscador de producto por SKU o nombre, panel con stock actual y JTable con los últimos 10 movimientos (tipo, fecha, hora, usuario, stock anterior, stock resultante).</t>
  </si>
  <si>
    <t>La búsqueda por SKU o nombre muestra el producto correcto; la JTable muestra máximo 10 filas ordenadas por fecha descendente; el stock actual coincide con ServicioProducto.</t>
  </si>
  <si>
    <t>Depende de VPrincipal y de 2.4.</t>
  </si>
  <si>
    <t>Crear VReportes (JPanel con JComboBox de tipo de reporte): filtros según el reporte seleccionado (rango de fechas para movimientos y facturas, estado para facturas), JTable de resultados y botón "Exportar a Excel" por reporte.</t>
  </si>
  <si>
    <t>El selector cambia los filtros disponibles según el reporte; la JTable se puebla correctamente para los 4 reportes; el botón exportar se habilita solo con resultados en pantalla.</t>
  </si>
  <si>
    <t>UR-57,UR-58,UR-59,UR-60,UR-61</t>
  </si>
  <si>
    <t>Depende de VPrincipal y de 2.5, 2.6.</t>
  </si>
  <si>
    <t>Implementar ControladorExportacion: listener del botón "Exportar ítems válidos", invoca ServicioExportacion, gestiona la selección de carpeta destino y formato, y muestra confirmación o error en pantalla.</t>
  </si>
  <si>
    <t>Exportación exitosa muestra la ruta del archivo generado; un error de escritura (permisos, disco) muestra un mensaje claro sin cerrar la ventana.</t>
  </si>
  <si>
    <t>Depende de 2.1 y 3.1.</t>
  </si>
  <si>
    <t>Extender ControladorAjusteInventario (o crear ControladorRevertirAjuste): listener de "Revertir", valida el rol Administrador antes de invocar, llama a ServicioAjusteInventario.revertirAjuste() y refresca stock e historial en pantalla.</t>
  </si>
  <si>
    <t>La reversión exitosa refresca de inmediato el stock mostrado y agrega la fila del nuevo movimiento; un intento sin permisos no llega a invocar el servicio.</t>
  </si>
  <si>
    <t>Depende de 2.3 y 3.2.</t>
  </si>
  <si>
    <t>Implementar ControladorStockHistorial: conecta VConsultaStockHistorial con ServicioProducto y ServicioHistorial, refrescando la tabla de movimientos al buscar un SKU o nombre.</t>
  </si>
  <si>
    <t>La búsqueda actualiza stock y tabla de movimientos en menos de 2 segundos; una búsqueda sin resultados muestra un mensaje claro en vez de una tabla vacía sin explicación.</t>
  </si>
  <si>
    <t>Depende de 2.4 y 3.3.</t>
  </si>
  <si>
    <t>Implementar ControladorReportes: construye cada reporte según los filtros seleccionados en VReportes, puebla la JTable de resultados y gestiona el botón "Exportar a Excel" invocando ServicioReportes y ServicioExportacion.</t>
  </si>
  <si>
    <t>Los 4 reportes se generan correctamente con y sin filtros aplicados; exportar sin resultados en pantalla está deshabilitado; la exportación exitosa confirma la ruta del archivo.</t>
  </si>
  <si>
    <t>Depende de 2.5, 2.6 y 3.4.</t>
  </si>
  <si>
    <t>Vista Lógica: actualizar el diagrama de clases UML incorporando ServicioExportacion, ServicioAuditoria, ServicioReportes y las extensiones a ServicioAjusteInventario y ServicioHistorial, junto a sus controladores y vistas del Incremento 3. PNG + explicación.</t>
  </si>
  <si>
    <t>Diagrama PNG con fondo blanco; coherente con el código del Incremento 3; texto explicativo antes de la figura.</t>
  </si>
  <si>
    <t>Depende de que el código del Incremento 3 esté avanzado (Modelo, Vista, Controlador).</t>
  </si>
  <si>
    <t>Vista de Procesos — Secuencia: Exportando ítems válidos y registrando auditoría (Módulo A). Actores, objetos Vista/Controlador/Modelo/BD, mensajes con nombres de métodos reales. PNG + explicación.</t>
  </si>
  <si>
    <t>UR-25,UR-37</t>
  </si>
  <si>
    <t>Depende de 4.1.</t>
  </si>
  <si>
    <t>Vista de Procesos — Secuencia: Revirtiendo ajuste de inventario (Módulo B). PNG + explicación.</t>
  </si>
  <si>
    <t>Depende de 4.2.</t>
  </si>
  <si>
    <t>Vista de Procesos — Secuencia: Consultando stock e historial de movimientos (Módulo C). PNG + explicación.</t>
  </si>
  <si>
    <t>Depende de 4.3.</t>
  </si>
  <si>
    <t>Vista de Procesos — Secuencia: Generando y exportando reporte (Módulo D; flujo común a los 4 reportes con el tipo de reporte como parámetro). PNG + explicación.</t>
  </si>
  <si>
    <t>Diagrama de secuencia UML correcto; texto explicativo; se indica explícitamente que el flujo aplica a los 4 tipos de reporte.</t>
  </si>
  <si>
    <t>Depende de 4.4.</t>
  </si>
  <si>
    <t>Actualizar el árbol de navegación del sistema, redactar la explicación textual de cada vista 4+1 nueva del Incremento 3 en el documento Word, y dejar constancia de que la Vista de Desarrollo y la Vista Física no requieren cambios estructurales en este incremento.</t>
  </si>
  <si>
    <t>Árbol de navegación actualizado incluye las pantallas nuevas; cada vista 4+1 nueva tiene texto introductorio + figura + fuente; párrafo explícito confirmando la vigencia de la Vista de Desarrollo y la Vista Física del Incremento 1.</t>
  </si>
  <si>
    <t>Última tarea de esta categoría, depende de 5.1 a 5.5.</t>
  </si>
  <si>
    <t>Actualizar el Product Backlog List en Excel marcando los 10 URs de prioridad 3 (RF-25, RF-37, RF-46, RF-47, RF-56 a RF-61) como parte del Incremento 3.</t>
  </si>
  <si>
    <t>Excel actualizado; los 10 URs quedan marcados con su incremento correspondiente; consistente con el Product Backlog de Incrementos 1 y 2.</t>
  </si>
  <si>
    <t>UR-25,UR-37,UR-46,UR-47,UR-56,UR-57,UR-58,UR-59,UR-60,UR-61</t>
  </si>
  <si>
    <t>Usar el Product Backlog del Incremento 2 como base.</t>
  </si>
  <si>
    <t>Elaborar el Sprint Backlog del Incremento 3 (este archivo) y la tabla de distribución semanal de HH (14/09 al 11/10), respetando el máximo de 2 HH/persona/día acordado por el equipo.</t>
  </si>
  <si>
    <t>Sprint Backlog con las 47 tareas de este documento; la tabla de distribución semanal cubre las 4 semanas del sprint con HH realistas por persona.</t>
  </si>
  <si>
    <t>Redactar las actas de Daily Scrum del sprint (una por cada día de trabajo efectivo entre el 15/09 y el 10/10): fecha, hora, lugar, asistentes, qué hice ayer, qué haré hoy, impedimentos.</t>
  </si>
  <si>
    <t>Redactar el Sprint Review del Incremento 3: asistentes, objetivos alcanzados y no alcanzados, capturas de la demo, feedback del cliente, Product Backlog actualizado.</t>
  </si>
  <si>
    <t>Requiere el sistema del Incremento 3 funcional para la demo.</t>
  </si>
  <si>
    <t>Redactar el Sprint Retrospective del Incremento 3: qué salió bien, qué mejorar, plan de acción para el Incremento 4. Participación de todo el equipo.</t>
  </si>
  <si>
    <t>Después del Sprint Review (6.4).</t>
  </si>
  <si>
    <t>Diseñar y ejecutar casos de prueba del Módulo A (Exportando ítems válidos y Registrando auditoría de archivo): exportación Excel y CSV con datos correctos, verificación del registro de auditoría en cada importación/exportación, caso sin ítems válidos. Documentar evidencia con capturas.</t>
  </si>
  <si>
    <t>Mínimo 8 casos, incluye exportación vacía y error de formato; capturas de cada caso (exitoso y fallido); estado PASS/FAIL registrado.</t>
  </si>
  <si>
    <t>Requiere código funcional de 2.1, 2.2, 3.1, 4.1.</t>
  </si>
  <si>
    <t>Diseñar y ejecutar casos de prueba del Módulo B (Revirtiendo ajuste): reversión exitosa con restauración correcta de stock, bloqueo para usuarios sin rol Administrador, intento de revertir un ajuste ya revertido. Documentar evidencia con capturas.</t>
  </si>
  <si>
    <t>Mínimo 6 casos; incluye control de acceso por rol; capturas de cada caso; estado PASS/FAIL registrado.</t>
  </si>
  <si>
    <t>Requiere código funcional de 2.3, 3.2, 4.2.</t>
  </si>
  <si>
    <t>Diseñar y ejecutar casos de prueba del Módulo C (Consultando stock e historial): producto con más de 10 movimientos, producto sin movimientos, filtros de historial combinados. Documentar evidencia con capturas.</t>
  </si>
  <si>
    <t>Mínimo 6 casos; confirma que nunca se muestran más de 10 movimientos; capturas de cada caso; estado PASS/FAIL registrado.</t>
  </si>
  <si>
    <t>Requiere código funcional de 2.4, 3.3, 4.3.</t>
  </si>
  <si>
    <t>Diseñar y ejecutar casos de prueba del Módulo D (Reportes y exportación a Excel): generación de los 4 reportes, filtros de estado y rango de fechas, exportación a Excel de cada reporte, caso sin resultados. Documentar evidencia con capturas.</t>
  </si>
  <si>
    <t>Mínimo 12 casos (mínimo 3 por reporte); incluye la exportación de cada reporte; capturas de cada caso; estado PASS/FAIL registrado.</t>
  </si>
  <si>
    <t>Requiere código funcional de 2.5, 2.6, 3.4, 4.4.</t>
  </si>
  <si>
    <t>Elaborar la tabla resumen de evidencias del Incremento 3 en el documento Word: por cada módulo (A, B, C, D), una tabla con ID de prueba, descripción, resultado y captura de pantalla.</t>
  </si>
  <si>
    <t>Tabla resumen por módulo; mínimo 3 evidencias por módulo; formato consistente con Incrementos 1 y 2.</t>
  </si>
  <si>
    <t>Depende de 7.1, 7.2, 7.3 y 7.4.</t>
  </si>
  <si>
    <t>Redactar el documento Word del Incremento 3 completo: portada, índice de contenidos/figuras/tablas, introducción, propuesta de solución, resumen consolidado de los Incrementos 1 y 2, documentación Scrum++, vistas 4+1, evidencias de pruebas. Formato de rúbrica.</t>
  </si>
  <si>
    <t>Documento con todas las secciones, incluido el resumen acumulado de Incrementos 1 y 2 antes de presentar el Incremento 3; sin placeholders; formato Arial 12, márgenes 2.5cm, interlineado 1.5.</t>
  </si>
  <si>
    <t>Integración final de todos los entregables del Incremento 3. Depende de 9.4.</t>
  </si>
  <si>
    <t>Insertar en el documento Word todos los diagramas 4+1, árbol de navegación y tablas de evidencias del Incremento 3. Verificar numeración Capítulo.Correlativo, texto que invoque cada figura y leyenda con fuente.</t>
  </si>
  <si>
    <t>Depende de que todos los diagramas (5.1 a 5.6) estén listos.</t>
  </si>
  <si>
    <t>Formato final del documento del Incremento 3: márgenes 2.5cm, fuente Arial 12, interlineado 1.5, paginación, cada sección en hoja nueva, títulos en mayúscula negrita, texto justificado.</t>
  </si>
  <si>
    <t>Grabar video de funcionalidades del Incremento 3 (máx. 5 min): recorrido por exportación de ítems válidos, reversión de ajuste, consulta de stock/historial y generación/exportación de reportes. Narrar cada acción.</t>
  </si>
  <si>
    <t>Cuando el sistema del Incremento 3 esté funcional.</t>
  </si>
  <si>
    <t>Crear presentación PPT del Incremento 3 (máx. 7 min): portada, índice, alcance con tabla de URs de prioridad 3, traza Scrum++, vistas 4+1 resumidas, enlace a la demo.</t>
  </si>
  <si>
    <t>Mismo formato que el PPT de Incrementos 1 y 2.</t>
  </si>
  <si>
    <t>Empaquetar el código fuente actualizado del Incremento 3 en ZIP: archivos .java, pom.xml, config.properties, script SQL de la tabla auditoria_archivo, archivos draw.io. Verificar que compile desde cero.</t>
  </si>
  <si>
    <t>Capturar el historial de commits de Git del Incremento 3: todos los integrantes con mínimo 3 commits descriptivos adicionales. Captura del log mostrando todos los autores.</t>
  </si>
  <si>
    <t>CRÍTICO: registrar el aporte individual de cada integrante.</t>
  </si>
  <si>
    <t>8.8</t>
  </si>
  <si>
    <t>Actualizar el documento de instalación y grabar un nuevo video de instalación si cambió la configuración, dependencias o pasos de despliegue en el Incremento 3 (nueva tabla auditoria_archivo), o confirmar explícitamente que sigue vigente el de incrementos anteriores.</t>
  </si>
  <si>
    <t>Documento de instalación vigente o actualizado (incluye el script de la tabla auditoria_archivo si aplica); video en Drive ≤ 3 min si hubo cambios; nota indicando "sin cambios" si no aplica.</t>
  </si>
  <si>
    <t>La rúbrica exige video de instalación en cada entrega.</t>
  </si>
  <si>
    <t>8.9</t>
  </si>
  <si>
    <t>Grabar el video separado de la presentación y demo del día de exposición del Incremento 3 (distinto del video de funcionalidades), mostrando la presentación PPT y la demo en vivo del sistema.</t>
  </si>
  <si>
    <t>Redactar la sección Introducción del Incremento 3: contexto, objetivo del incremento, alcance (10 URs de prioridad 3), estructura del documento.</t>
  </si>
  <si>
    <t>Redactar la sección Propuesta de Solución e Incremento 3: describir el incremento, RFs/URs implementados (RF-25, RF-37, RF-46, RF-47, RF-56 a RF-61), porcentaje parcial (10/70 ≈ 14,3%) y porcentaje acumulado (59/70 ≈ 84,3%).</t>
  </si>
  <si>
    <t>Sección con tabla de RFs/URs, porcentaje parcial y acumulado correctamente calculados; mínimo 2 párrafos.</t>
  </si>
  <si>
    <t>Requerido por la rúbrica. Verificar el cálculo contra Incrementos 1 y 2 (24+25+10=59 de 70 URs).</t>
  </si>
  <si>
    <t>Redactar la descripción textual extendida de los 10 casos de uso del Incremento 3 (uno por cada RF/UR: Exportando ítems válidos, Registrando auditoría de archivo, Revirtiendo ajuste, Consultando historial de movimientos, Consultando stock e historial, Generando reporte de stock, Reportando equivalencias faltantes, Generando reporte de facturas, Generando reporte de movimientos, Exportando reportes a Excel), agrupados en las 4 secciones de módulo (A-D): nombre en gerundio, actores, precondición, flujo normal, flujos alternativos, postcondición.</t>
  </si>
  <si>
    <t>10 casos de uso extendidos completos, uno por cada RF/UR, agrupados en las 4 secciones de módulo; formato tabla; todos los campos presentes; nombres en gerundio coinciden con el nombre de cada RF.</t>
  </si>
  <si>
    <t>Revisar los casos de uso de Incrementos 1 y 2 para mantener coherencia de formato.</t>
  </si>
  <si>
    <t>Consolidar en el documento el resumen acumulado de los Incrementos 1 y 2 (CUs/URs entregados por incremento, porcentaje parcial y acumulado de cada uno) como sección previa a la propuesta del Incremento 3, verificando coherencia con los documentos anteriores.</t>
  </si>
  <si>
    <t>Tabla con los 3 incrementos (1, 2 y 3), URs por incremento y porcentaje acumulado consistente con los documentos de Incrementos 1 y 2; sin contradicciones de cifras entre documentos.</t>
  </si>
  <si>
    <t>Depende de 9.2. Es la tarea que asegura que el informe incorpore los incrementos anteriores.</t>
  </si>
  <si>
    <t>Verificar checklist final antes de entregar: documento Incremento 3, Sprint Backlog, diagramas draw.io, video de funcionalidades, ZIP de código, Excel de organización, PPT, video de instalación (si aplica), video de presentación/demo. Todos los archivos en Drive con nombre correcto.</t>
  </si>
  <si>
    <t>24 a 48 horas antes de la entrega (11/10).</t>
  </si>
  <si>
    <t>Correo enviado antes del 11/10 23:59; asunto correcto; enlace funcional.</t>
  </si>
  <si>
    <t>Deadline: domingo 11 de octubre 23:59.</t>
  </si>
  <si>
    <t>BURN DOWN / BURN UP ACUMULADO — INCREMENTOS 1, 2 Y 3  |  Grupo 20 — Minimarket Antucayen</t>
  </si>
  <si>
    <t>Alcance total (HH Est.)</t>
  </si>
  <si>
    <t>Periodos: Inc. 1 (30/04–14/06), Inc. 2 (25/08–13/09), Inc. 3 (14/09–11/10). Se omite el receso entre Inc. 1 e Inc. 2. Una tarea se considera completada en su "Fecha término" (col. N del Sprint Backlog).</t>
  </si>
  <si>
    <t>HH Efectivas totales</t>
  </si>
  <si>
    <t>Días de sprint considerados</t>
  </si>
  <si>
    <t>Incremento</t>
  </si>
  <si>
    <t>Día</t>
  </si>
  <si>
    <t>Fecha</t>
  </si>
  <si>
    <t>Ideal restante (HH)</t>
  </si>
  <si>
    <t>Real restante (HH)</t>
  </si>
  <si>
    <t>Alcance total (HH)</t>
  </si>
  <si>
    <t>Ideal completado (HH)</t>
  </si>
  <si>
    <t>Real completado (HH)</t>
  </si>
  <si>
    <t>HH Efectivas acumuladas</t>
  </si>
  <si>
    <t>Inc. 1</t>
  </si>
  <si>
    <t>Inc. 2</t>
  </si>
  <si>
    <t>Inc.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</si>
</sst>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1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1F3864"/>
      <name val="Arial"/>
      <charset val="1"/>
    </font>
    <font>
      <i/>
      <sz val="8"/>
      <name val="Arial"/>
      <charset val="1"/>
    </font>
    <font>
      <b/>
      <sz val="10"/>
      <color theme="1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00FF00"/>
        <bgColor rgb="FF00B050"/>
      </patternFill>
    </fill>
    <fill>
      <patternFill patternType="solid">
        <fgColor rgb="FFD9EAD3"/>
        <bgColor rgb="FFD7E4BD"/>
      </patternFill>
    </fill>
    <fill>
      <patternFill patternType="solid">
        <fgColor rgb="FFD0E4F5"/>
        <bgColor rgb="FFCFE2F3"/>
      </patternFill>
    </fill>
    <fill>
      <patternFill patternType="solid">
        <fgColor rgb="FFFFF2CC"/>
        <bgColor rgb="FFFCE4D6"/>
      </patternFill>
    </fill>
    <fill>
      <patternFill patternType="solid">
        <fgColor rgb="FFE6D0DE"/>
        <bgColor rgb="FFEAD1DC"/>
      </patternFill>
    </fill>
    <fill>
      <patternFill patternType="solid">
        <fgColor rgb="FFCFE2F3"/>
        <bgColor rgb="FFD0E4F5"/>
      </patternFill>
    </fill>
    <fill>
      <patternFill patternType="solid">
        <fgColor rgb="FFEAD1DC"/>
        <bgColor rgb="FFE6D0DE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EAD1DC"/>
      </patternFill>
    </fill>
    <fill>
      <patternFill patternType="solid">
        <fgColor rgb="FFE9F5E1"/>
        <bgColor rgb="FFD9EAD3"/>
      </patternFill>
    </fill>
    <fill>
      <patternFill patternType="solid">
        <fgColor theme="6" tint="0.59987182226020086"/>
        <bgColor rgb="FFD9EAD3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E9F5E1"/>
      </patternFill>
    </fill>
    <fill>
      <patternFill patternType="solid">
        <fgColor rgb="FFD0E4F5"/>
        <bgColor indexed="64"/>
      </patternFill>
    </fill>
    <fill>
      <patternFill patternType="solid">
        <fgColor theme="0"/>
        <bgColor rgb="FFFFF3C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164" fontId="5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164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5" fontId="5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16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65" fontId="5" fillId="13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5" fontId="7" fillId="9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9" borderId="4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165" fontId="7" fillId="10" borderId="1" xfId="0" applyNumberFormat="1" applyFont="1" applyFill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165" fontId="7" fillId="10" borderId="4" xfId="0" applyNumberFormat="1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165" fontId="7" fillId="11" borderId="3" xfId="0" applyNumberFormat="1" applyFont="1" applyFill="1" applyBorder="1" applyAlignment="1">
      <alignment horizontal="center" vertical="center" wrapText="1"/>
    </xf>
    <xf numFmtId="165" fontId="7" fillId="11" borderId="4" xfId="0" applyNumberFormat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165" fontId="7" fillId="12" borderId="1" xfId="0" applyNumberFormat="1" applyFont="1" applyFill="1" applyBorder="1" applyAlignment="1">
      <alignment horizontal="center" vertical="center" wrapText="1"/>
    </xf>
    <xf numFmtId="165" fontId="7" fillId="12" borderId="3" xfId="0" applyNumberFormat="1" applyFont="1" applyFill="1" applyBorder="1" applyAlignment="1">
      <alignment horizontal="center" vertical="center" wrapText="1"/>
    </xf>
    <xf numFmtId="165" fontId="7" fillId="12" borderId="4" xfId="0" applyNumberFormat="1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165" fontId="7" fillId="13" borderId="3" xfId="0" applyNumberFormat="1" applyFont="1" applyFill="1" applyBorder="1" applyAlignment="1">
      <alignment horizontal="center" vertical="center" wrapText="1"/>
    </xf>
    <xf numFmtId="165" fontId="7" fillId="13" borderId="4" xfId="0" applyNumberFormat="1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165" fontId="7" fillId="14" borderId="1" xfId="0" applyNumberFormat="1" applyFont="1" applyFill="1" applyBorder="1" applyAlignment="1">
      <alignment horizontal="center" vertical="center" wrapText="1"/>
    </xf>
    <xf numFmtId="165" fontId="7" fillId="14" borderId="3" xfId="0" applyNumberFormat="1" applyFont="1" applyFill="1" applyBorder="1" applyAlignment="1">
      <alignment horizontal="center" vertical="center" wrapText="1"/>
    </xf>
    <xf numFmtId="165" fontId="7" fillId="14" borderId="4" xfId="0" applyNumberFormat="1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165" fontId="7" fillId="7" borderId="5" xfId="0" applyNumberFormat="1" applyFont="1" applyFill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7" fillId="0" borderId="1" xfId="0" applyNumberFormat="1" applyFont="1" applyBorder="1"/>
    <xf numFmtId="1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0" fillId="18" borderId="7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  <xf numFmtId="165" fontId="7" fillId="19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D9D9D9"/>
      <rgbColor rgb="FF993366"/>
      <rgbColor rgb="FFFFF2CC"/>
      <rgbColor rgb="FFE9F5E1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4F5"/>
      <rgbColor rgb="FFD9EAD3"/>
      <rgbColor rgb="FFFCE4D6"/>
      <rgbColor rgb="FFCFE2F3"/>
      <rgbColor rgb="FFE6D0DE"/>
      <rgbColor rgb="FFEAD1DC"/>
      <rgbColor rgb="FFF4CCCC"/>
      <rgbColor rgb="FF3366FF"/>
      <rgbColor rgb="FF33CCCC"/>
      <rgbColor rgb="FF99CC00"/>
      <rgbColor rgb="FFD7E4BD"/>
      <rgbColor rgb="FFFF9900"/>
      <rgbColor rgb="FFED7D31"/>
      <rgbColor rgb="FF666699"/>
      <rgbColor rgb="FFA6A6A6"/>
      <rgbColor rgb="FF1F3864"/>
      <rgbColor rgb="FF00B050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 Down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 Acumulado'!D9</c:f>
              <c:strCache>
                <c:ptCount val="1"/>
                <c:pt idx="0">
                  <c:v>Ideal restante (HH)</c:v>
                </c:pt>
              </c:strCache>
            </c:strRef>
          </c:tx>
          <c:spPr>
            <a:ln w="2808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Acumulado'!$D$10:$D$96</c:f>
              <c:numCache>
                <c:formatCode>0.0</c:formatCode>
                <c:ptCount val="87"/>
                <c:pt idx="0">
                  <c:v>404.5</c:v>
                </c:pt>
                <c:pt idx="1">
                  <c:v>399.79651162790697</c:v>
                </c:pt>
                <c:pt idx="2">
                  <c:v>395.09302325581393</c:v>
                </c:pt>
                <c:pt idx="3">
                  <c:v>390.38953488372096</c:v>
                </c:pt>
                <c:pt idx="4">
                  <c:v>385.68604651162792</c:v>
                </c:pt>
                <c:pt idx="5">
                  <c:v>380.98255813953489</c:v>
                </c:pt>
                <c:pt idx="6">
                  <c:v>376.27906976744185</c:v>
                </c:pt>
                <c:pt idx="7">
                  <c:v>371.57558139534882</c:v>
                </c:pt>
                <c:pt idx="8">
                  <c:v>366.87209302325584</c:v>
                </c:pt>
                <c:pt idx="9">
                  <c:v>362.16860465116281</c:v>
                </c:pt>
                <c:pt idx="10">
                  <c:v>357.46511627906978</c:v>
                </c:pt>
                <c:pt idx="11">
                  <c:v>352.76162790697674</c:v>
                </c:pt>
                <c:pt idx="12">
                  <c:v>348.05813953488371</c:v>
                </c:pt>
                <c:pt idx="13">
                  <c:v>343.35465116279067</c:v>
                </c:pt>
                <c:pt idx="14">
                  <c:v>338.65116279069764</c:v>
                </c:pt>
                <c:pt idx="15">
                  <c:v>333.94767441860466</c:v>
                </c:pt>
                <c:pt idx="16">
                  <c:v>329.24418604651163</c:v>
                </c:pt>
                <c:pt idx="17">
                  <c:v>324.5406976744186</c:v>
                </c:pt>
                <c:pt idx="18">
                  <c:v>319.83720930232556</c:v>
                </c:pt>
                <c:pt idx="19">
                  <c:v>315.13372093023258</c:v>
                </c:pt>
                <c:pt idx="20">
                  <c:v>310.43023255813955</c:v>
                </c:pt>
                <c:pt idx="21">
                  <c:v>305.72674418604652</c:v>
                </c:pt>
                <c:pt idx="22">
                  <c:v>301.02325581395348</c:v>
                </c:pt>
                <c:pt idx="23">
                  <c:v>296.31976744186045</c:v>
                </c:pt>
                <c:pt idx="24">
                  <c:v>291.61627906976742</c:v>
                </c:pt>
                <c:pt idx="25">
                  <c:v>286.91279069767444</c:v>
                </c:pt>
                <c:pt idx="26">
                  <c:v>282.2093023255814</c:v>
                </c:pt>
                <c:pt idx="27">
                  <c:v>277.50581395348837</c:v>
                </c:pt>
                <c:pt idx="28">
                  <c:v>272.80232558139534</c:v>
                </c:pt>
                <c:pt idx="29">
                  <c:v>268.09883720930236</c:v>
                </c:pt>
                <c:pt idx="30">
                  <c:v>263.39534883720933</c:v>
                </c:pt>
                <c:pt idx="31">
                  <c:v>258.69186046511629</c:v>
                </c:pt>
                <c:pt idx="32">
                  <c:v>253.98837209302326</c:v>
                </c:pt>
                <c:pt idx="33">
                  <c:v>249.28488372093022</c:v>
                </c:pt>
                <c:pt idx="34">
                  <c:v>244.58139534883722</c:v>
                </c:pt>
                <c:pt idx="35">
                  <c:v>239.87790697674419</c:v>
                </c:pt>
                <c:pt idx="36">
                  <c:v>235.17441860465115</c:v>
                </c:pt>
                <c:pt idx="37">
                  <c:v>230.47093023255815</c:v>
                </c:pt>
                <c:pt idx="38">
                  <c:v>225.76744186046511</c:v>
                </c:pt>
                <c:pt idx="39">
                  <c:v>221.06395348837211</c:v>
                </c:pt>
                <c:pt idx="40">
                  <c:v>216.36046511627907</c:v>
                </c:pt>
                <c:pt idx="41">
                  <c:v>211.65697674418604</c:v>
                </c:pt>
                <c:pt idx="42">
                  <c:v>206.95348837209303</c:v>
                </c:pt>
                <c:pt idx="43">
                  <c:v>202.25</c:v>
                </c:pt>
                <c:pt idx="44">
                  <c:v>197.54651162790697</c:v>
                </c:pt>
                <c:pt idx="45">
                  <c:v>192.84302325581396</c:v>
                </c:pt>
                <c:pt idx="46">
                  <c:v>188.13953488372093</c:v>
                </c:pt>
                <c:pt idx="47">
                  <c:v>183.43604651162789</c:v>
                </c:pt>
                <c:pt idx="48">
                  <c:v>178.73255813953489</c:v>
                </c:pt>
                <c:pt idx="49">
                  <c:v>174.02906976744185</c:v>
                </c:pt>
                <c:pt idx="50">
                  <c:v>169.32558139534885</c:v>
                </c:pt>
                <c:pt idx="51">
                  <c:v>164.62209302325581</c:v>
                </c:pt>
                <c:pt idx="52">
                  <c:v>159.91860465116278</c:v>
                </c:pt>
                <c:pt idx="53">
                  <c:v>155.21511627906978</c:v>
                </c:pt>
                <c:pt idx="54">
                  <c:v>150.51162790697674</c:v>
                </c:pt>
                <c:pt idx="55">
                  <c:v>145.80813953488371</c:v>
                </c:pt>
                <c:pt idx="56">
                  <c:v>141.10465116279067</c:v>
                </c:pt>
                <c:pt idx="57">
                  <c:v>136.4011627906977</c:v>
                </c:pt>
                <c:pt idx="58">
                  <c:v>131.69767441860466</c:v>
                </c:pt>
                <c:pt idx="59">
                  <c:v>126.99418604651163</c:v>
                </c:pt>
                <c:pt idx="60">
                  <c:v>122.2906976744186</c:v>
                </c:pt>
                <c:pt idx="61">
                  <c:v>117.58720930232556</c:v>
                </c:pt>
                <c:pt idx="62">
                  <c:v>112.88372093023258</c:v>
                </c:pt>
                <c:pt idx="63">
                  <c:v>108.18023255813955</c:v>
                </c:pt>
                <c:pt idx="64">
                  <c:v>103.47674418604652</c:v>
                </c:pt>
                <c:pt idx="65">
                  <c:v>98.773255813953483</c:v>
                </c:pt>
                <c:pt idx="66">
                  <c:v>94.069767441860449</c:v>
                </c:pt>
                <c:pt idx="67">
                  <c:v>89.366279069767415</c:v>
                </c:pt>
                <c:pt idx="68">
                  <c:v>84.662790697674438</c:v>
                </c:pt>
                <c:pt idx="69">
                  <c:v>79.959302325581405</c:v>
                </c:pt>
                <c:pt idx="70">
                  <c:v>75.255813953488371</c:v>
                </c:pt>
                <c:pt idx="71">
                  <c:v>70.552325581395337</c:v>
                </c:pt>
                <c:pt idx="72">
                  <c:v>65.848837209302303</c:v>
                </c:pt>
                <c:pt idx="73">
                  <c:v>61.145348837209326</c:v>
                </c:pt>
                <c:pt idx="74">
                  <c:v>56.441860465116292</c:v>
                </c:pt>
                <c:pt idx="75">
                  <c:v>51.738372093023258</c:v>
                </c:pt>
                <c:pt idx="76">
                  <c:v>47.034883720930225</c:v>
                </c:pt>
                <c:pt idx="77">
                  <c:v>42.331395348837191</c:v>
                </c:pt>
                <c:pt idx="78">
                  <c:v>37.627906976744214</c:v>
                </c:pt>
                <c:pt idx="79">
                  <c:v>32.92441860465118</c:v>
                </c:pt>
                <c:pt idx="80">
                  <c:v>28.220930232558146</c:v>
                </c:pt>
                <c:pt idx="81">
                  <c:v>23.517441860465112</c:v>
                </c:pt>
                <c:pt idx="82">
                  <c:v>18.813953488372078</c:v>
                </c:pt>
                <c:pt idx="83">
                  <c:v>14.110465116279045</c:v>
                </c:pt>
                <c:pt idx="84">
                  <c:v>9.4069767441860677</c:v>
                </c:pt>
                <c:pt idx="85">
                  <c:v>4.7034883720930338</c:v>
                </c:pt>
                <c:pt idx="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7-445D-842F-C904530EDD3D}"/>
            </c:ext>
          </c:extLst>
        </c:ser>
        <c:ser>
          <c:idx val="1"/>
          <c:order val="1"/>
          <c:tx>
            <c:strRef>
              <c:f>'Burn Acumulado'!E9</c:f>
              <c:strCache>
                <c:ptCount val="1"/>
                <c:pt idx="0">
                  <c:v>Real restante (HH)</c:v>
                </c:pt>
              </c:strCache>
            </c:strRef>
          </c:tx>
          <c:spPr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Acumulado'!$E$10:$E$96</c:f>
              <c:numCache>
                <c:formatCode>0.0</c:formatCode>
                <c:ptCount val="87"/>
                <c:pt idx="0">
                  <c:v>403.5</c:v>
                </c:pt>
                <c:pt idx="1">
                  <c:v>398.5</c:v>
                </c:pt>
                <c:pt idx="2">
                  <c:v>397.5</c:v>
                </c:pt>
                <c:pt idx="3">
                  <c:v>392.5</c:v>
                </c:pt>
                <c:pt idx="4">
                  <c:v>389.5</c:v>
                </c:pt>
                <c:pt idx="5">
                  <c:v>384.5</c:v>
                </c:pt>
                <c:pt idx="6">
                  <c:v>380.5</c:v>
                </c:pt>
                <c:pt idx="7">
                  <c:v>375.5</c:v>
                </c:pt>
                <c:pt idx="8">
                  <c:v>370.5</c:v>
                </c:pt>
                <c:pt idx="9">
                  <c:v>368.5</c:v>
                </c:pt>
                <c:pt idx="10">
                  <c:v>368.5</c:v>
                </c:pt>
                <c:pt idx="11">
                  <c:v>362.5</c:v>
                </c:pt>
                <c:pt idx="12">
                  <c:v>360.5</c:v>
                </c:pt>
                <c:pt idx="13">
                  <c:v>357.5</c:v>
                </c:pt>
                <c:pt idx="14">
                  <c:v>347.5</c:v>
                </c:pt>
                <c:pt idx="15">
                  <c:v>347.5</c:v>
                </c:pt>
                <c:pt idx="16">
                  <c:v>340.5</c:v>
                </c:pt>
                <c:pt idx="17">
                  <c:v>337.5</c:v>
                </c:pt>
                <c:pt idx="18">
                  <c:v>333.5</c:v>
                </c:pt>
                <c:pt idx="19">
                  <c:v>326.5</c:v>
                </c:pt>
                <c:pt idx="20">
                  <c:v>326.5</c:v>
                </c:pt>
                <c:pt idx="21">
                  <c:v>315.5</c:v>
                </c:pt>
                <c:pt idx="22">
                  <c:v>312.5</c:v>
                </c:pt>
                <c:pt idx="23">
                  <c:v>308.5</c:v>
                </c:pt>
                <c:pt idx="24">
                  <c:v>300.5</c:v>
                </c:pt>
                <c:pt idx="25">
                  <c:v>298.5</c:v>
                </c:pt>
                <c:pt idx="26">
                  <c:v>290.5</c:v>
                </c:pt>
                <c:pt idx="27">
                  <c:v>287.5</c:v>
                </c:pt>
                <c:pt idx="28">
                  <c:v>277.5</c:v>
                </c:pt>
                <c:pt idx="29">
                  <c:v>275.5</c:v>
                </c:pt>
                <c:pt idx="30">
                  <c:v>267.5</c:v>
                </c:pt>
                <c:pt idx="31">
                  <c:v>265.5</c:v>
                </c:pt>
                <c:pt idx="32">
                  <c:v>261.5</c:v>
                </c:pt>
                <c:pt idx="33">
                  <c:v>257.5</c:v>
                </c:pt>
                <c:pt idx="34">
                  <c:v>246.5</c:v>
                </c:pt>
                <c:pt idx="35">
                  <c:v>241.5</c:v>
                </c:pt>
                <c:pt idx="36">
                  <c:v>233.5</c:v>
                </c:pt>
                <c:pt idx="37">
                  <c:v>229.5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227</c:v>
                </c:pt>
                <c:pt idx="48">
                  <c:v>227</c:v>
                </c:pt>
                <c:pt idx="49">
                  <c:v>221</c:v>
                </c:pt>
                <c:pt idx="50">
                  <c:v>217</c:v>
                </c:pt>
                <c:pt idx="51">
                  <c:v>217</c:v>
                </c:pt>
                <c:pt idx="52">
                  <c:v>213</c:v>
                </c:pt>
                <c:pt idx="53">
                  <c:v>205</c:v>
                </c:pt>
                <c:pt idx="54">
                  <c:v>198</c:v>
                </c:pt>
                <c:pt idx="55">
                  <c:v>190</c:v>
                </c:pt>
                <c:pt idx="56">
                  <c:v>186</c:v>
                </c:pt>
                <c:pt idx="57">
                  <c:v>174</c:v>
                </c:pt>
                <c:pt idx="58">
                  <c:v>174</c:v>
                </c:pt>
                <c:pt idx="59">
                  <c:v>168</c:v>
                </c:pt>
                <c:pt idx="60">
                  <c:v>162</c:v>
                </c:pt>
                <c:pt idx="61">
                  <c:v>162</c:v>
                </c:pt>
                <c:pt idx="62">
                  <c:v>142</c:v>
                </c:pt>
                <c:pt idx="63">
                  <c:v>134</c:v>
                </c:pt>
                <c:pt idx="64">
                  <c:v>119</c:v>
                </c:pt>
                <c:pt idx="65">
                  <c:v>110.5</c:v>
                </c:pt>
                <c:pt idx="66">
                  <c:v>109.5</c:v>
                </c:pt>
                <c:pt idx="67">
                  <c:v>108.5</c:v>
                </c:pt>
                <c:pt idx="68">
                  <c:v>103.5</c:v>
                </c:pt>
                <c:pt idx="69">
                  <c:v>102.5</c:v>
                </c:pt>
                <c:pt idx="70">
                  <c:v>101.5</c:v>
                </c:pt>
                <c:pt idx="71">
                  <c:v>97.5</c:v>
                </c:pt>
                <c:pt idx="72">
                  <c:v>93.5</c:v>
                </c:pt>
                <c:pt idx="73">
                  <c:v>93.5</c:v>
                </c:pt>
                <c:pt idx="74">
                  <c:v>91.5</c:v>
                </c:pt>
                <c:pt idx="75">
                  <c:v>87.5</c:v>
                </c:pt>
                <c:pt idx="76">
                  <c:v>84.5</c:v>
                </c:pt>
                <c:pt idx="77">
                  <c:v>75.5</c:v>
                </c:pt>
                <c:pt idx="78">
                  <c:v>72.5</c:v>
                </c:pt>
                <c:pt idx="79">
                  <c:v>65.5</c:v>
                </c:pt>
                <c:pt idx="80">
                  <c:v>63.5</c:v>
                </c:pt>
                <c:pt idx="81">
                  <c:v>59.5</c:v>
                </c:pt>
                <c:pt idx="82">
                  <c:v>55.5</c:v>
                </c:pt>
                <c:pt idx="83">
                  <c:v>50.5</c:v>
                </c:pt>
                <c:pt idx="84">
                  <c:v>48.5</c:v>
                </c:pt>
                <c:pt idx="85">
                  <c:v>42.5</c:v>
                </c:pt>
                <c:pt idx="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7-445D-842F-C904530E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062131"/>
        <c:axId val="68791124"/>
      </c:lineChart>
      <c:dateAx>
        <c:axId val="200621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8791124"/>
        <c:crosses val="autoZero"/>
        <c:auto val="1"/>
        <c:lblOffset val="100"/>
        <c:baseTimeUnit val="days"/>
      </c:dateAx>
      <c:valAx>
        <c:axId val="687911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HH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0062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 Up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 Acumulado'!F9</c:f>
              <c:strCache>
                <c:ptCount val="1"/>
                <c:pt idx="0">
                  <c:v>Alcance total (HH)</c:v>
                </c:pt>
              </c:strCache>
            </c:strRef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Acumulado'!$F$10:$F$96</c:f>
              <c:numCache>
                <c:formatCode>0.0</c:formatCode>
                <c:ptCount val="87"/>
                <c:pt idx="0">
                  <c:v>404.5</c:v>
                </c:pt>
                <c:pt idx="1">
                  <c:v>404.5</c:v>
                </c:pt>
                <c:pt idx="2">
                  <c:v>404.5</c:v>
                </c:pt>
                <c:pt idx="3">
                  <c:v>404.5</c:v>
                </c:pt>
                <c:pt idx="4">
                  <c:v>404.5</c:v>
                </c:pt>
                <c:pt idx="5">
                  <c:v>404.5</c:v>
                </c:pt>
                <c:pt idx="6">
                  <c:v>404.5</c:v>
                </c:pt>
                <c:pt idx="7">
                  <c:v>404.5</c:v>
                </c:pt>
                <c:pt idx="8">
                  <c:v>404.5</c:v>
                </c:pt>
                <c:pt idx="9">
                  <c:v>404.5</c:v>
                </c:pt>
                <c:pt idx="10">
                  <c:v>404.5</c:v>
                </c:pt>
                <c:pt idx="11">
                  <c:v>404.5</c:v>
                </c:pt>
                <c:pt idx="12">
                  <c:v>404.5</c:v>
                </c:pt>
                <c:pt idx="13">
                  <c:v>404.5</c:v>
                </c:pt>
                <c:pt idx="14">
                  <c:v>404.5</c:v>
                </c:pt>
                <c:pt idx="15">
                  <c:v>404.5</c:v>
                </c:pt>
                <c:pt idx="16">
                  <c:v>404.5</c:v>
                </c:pt>
                <c:pt idx="17">
                  <c:v>404.5</c:v>
                </c:pt>
                <c:pt idx="18">
                  <c:v>404.5</c:v>
                </c:pt>
                <c:pt idx="19">
                  <c:v>404.5</c:v>
                </c:pt>
                <c:pt idx="20">
                  <c:v>404.5</c:v>
                </c:pt>
                <c:pt idx="21">
                  <c:v>404.5</c:v>
                </c:pt>
                <c:pt idx="22">
                  <c:v>404.5</c:v>
                </c:pt>
                <c:pt idx="23">
                  <c:v>404.5</c:v>
                </c:pt>
                <c:pt idx="24">
                  <c:v>404.5</c:v>
                </c:pt>
                <c:pt idx="25">
                  <c:v>404.5</c:v>
                </c:pt>
                <c:pt idx="26">
                  <c:v>404.5</c:v>
                </c:pt>
                <c:pt idx="27">
                  <c:v>404.5</c:v>
                </c:pt>
                <c:pt idx="28">
                  <c:v>404.5</c:v>
                </c:pt>
                <c:pt idx="29">
                  <c:v>404.5</c:v>
                </c:pt>
                <c:pt idx="30">
                  <c:v>404.5</c:v>
                </c:pt>
                <c:pt idx="31">
                  <c:v>404.5</c:v>
                </c:pt>
                <c:pt idx="32">
                  <c:v>404.5</c:v>
                </c:pt>
                <c:pt idx="33">
                  <c:v>404.5</c:v>
                </c:pt>
                <c:pt idx="34">
                  <c:v>404.5</c:v>
                </c:pt>
                <c:pt idx="35">
                  <c:v>404.5</c:v>
                </c:pt>
                <c:pt idx="36">
                  <c:v>404.5</c:v>
                </c:pt>
                <c:pt idx="37">
                  <c:v>404.5</c:v>
                </c:pt>
                <c:pt idx="38">
                  <c:v>404.5</c:v>
                </c:pt>
                <c:pt idx="39">
                  <c:v>404.5</c:v>
                </c:pt>
                <c:pt idx="40">
                  <c:v>404.5</c:v>
                </c:pt>
                <c:pt idx="41">
                  <c:v>404.5</c:v>
                </c:pt>
                <c:pt idx="42">
                  <c:v>404.5</c:v>
                </c:pt>
                <c:pt idx="43">
                  <c:v>404.5</c:v>
                </c:pt>
                <c:pt idx="44">
                  <c:v>404.5</c:v>
                </c:pt>
                <c:pt idx="45">
                  <c:v>404.5</c:v>
                </c:pt>
                <c:pt idx="46">
                  <c:v>404.5</c:v>
                </c:pt>
                <c:pt idx="47">
                  <c:v>404.5</c:v>
                </c:pt>
                <c:pt idx="48">
                  <c:v>404.5</c:v>
                </c:pt>
                <c:pt idx="49">
                  <c:v>404.5</c:v>
                </c:pt>
                <c:pt idx="50">
                  <c:v>404.5</c:v>
                </c:pt>
                <c:pt idx="51">
                  <c:v>404.5</c:v>
                </c:pt>
                <c:pt idx="52">
                  <c:v>404.5</c:v>
                </c:pt>
                <c:pt idx="53">
                  <c:v>404.5</c:v>
                </c:pt>
                <c:pt idx="54">
                  <c:v>404.5</c:v>
                </c:pt>
                <c:pt idx="55">
                  <c:v>404.5</c:v>
                </c:pt>
                <c:pt idx="56">
                  <c:v>404.5</c:v>
                </c:pt>
                <c:pt idx="57">
                  <c:v>404.5</c:v>
                </c:pt>
                <c:pt idx="58">
                  <c:v>404.5</c:v>
                </c:pt>
                <c:pt idx="59">
                  <c:v>404.5</c:v>
                </c:pt>
                <c:pt idx="60">
                  <c:v>404.5</c:v>
                </c:pt>
                <c:pt idx="61">
                  <c:v>404.5</c:v>
                </c:pt>
                <c:pt idx="62">
                  <c:v>404.5</c:v>
                </c:pt>
                <c:pt idx="63">
                  <c:v>404.5</c:v>
                </c:pt>
                <c:pt idx="64">
                  <c:v>404.5</c:v>
                </c:pt>
                <c:pt idx="65">
                  <c:v>404.5</c:v>
                </c:pt>
                <c:pt idx="66">
                  <c:v>404.5</c:v>
                </c:pt>
                <c:pt idx="67">
                  <c:v>404.5</c:v>
                </c:pt>
                <c:pt idx="68">
                  <c:v>404.5</c:v>
                </c:pt>
                <c:pt idx="69">
                  <c:v>404.5</c:v>
                </c:pt>
                <c:pt idx="70">
                  <c:v>404.5</c:v>
                </c:pt>
                <c:pt idx="71">
                  <c:v>404.5</c:v>
                </c:pt>
                <c:pt idx="72">
                  <c:v>404.5</c:v>
                </c:pt>
                <c:pt idx="73">
                  <c:v>404.5</c:v>
                </c:pt>
                <c:pt idx="74">
                  <c:v>404.5</c:v>
                </c:pt>
                <c:pt idx="75">
                  <c:v>404.5</c:v>
                </c:pt>
                <c:pt idx="76">
                  <c:v>404.5</c:v>
                </c:pt>
                <c:pt idx="77">
                  <c:v>404.5</c:v>
                </c:pt>
                <c:pt idx="78">
                  <c:v>404.5</c:v>
                </c:pt>
                <c:pt idx="79">
                  <c:v>404.5</c:v>
                </c:pt>
                <c:pt idx="80">
                  <c:v>404.5</c:v>
                </c:pt>
                <c:pt idx="81">
                  <c:v>404.5</c:v>
                </c:pt>
                <c:pt idx="82">
                  <c:v>404.5</c:v>
                </c:pt>
                <c:pt idx="83">
                  <c:v>404.5</c:v>
                </c:pt>
                <c:pt idx="84">
                  <c:v>404.5</c:v>
                </c:pt>
                <c:pt idx="85">
                  <c:v>404.5</c:v>
                </c:pt>
                <c:pt idx="86">
                  <c:v>404.5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C-43C4-A772-DBDD547D901F}"/>
            </c:ext>
          </c:extLst>
        </c:ser>
        <c:ser>
          <c:idx val="1"/>
          <c:order val="1"/>
          <c:tx>
            <c:strRef>
              <c:f>'Burn Acumulado'!G9</c:f>
              <c:strCache>
                <c:ptCount val="1"/>
                <c:pt idx="0">
                  <c:v>Ideal completado (HH)</c:v>
                </c:pt>
              </c:strCache>
            </c:strRef>
          </c:tx>
          <c:spPr>
            <a:ln w="2808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Acumulado'!$G$10:$G$96</c:f>
              <c:numCache>
                <c:formatCode>0.0</c:formatCode>
                <c:ptCount val="87"/>
                <c:pt idx="0">
                  <c:v>0</c:v>
                </c:pt>
                <c:pt idx="1">
                  <c:v>4.7034883720930338</c:v>
                </c:pt>
                <c:pt idx="2">
                  <c:v>9.4069767441860677</c:v>
                </c:pt>
                <c:pt idx="3">
                  <c:v>14.110465116279045</c:v>
                </c:pt>
                <c:pt idx="4">
                  <c:v>18.813953488372078</c:v>
                </c:pt>
                <c:pt idx="5">
                  <c:v>23.517441860465112</c:v>
                </c:pt>
                <c:pt idx="6">
                  <c:v>28.220930232558146</c:v>
                </c:pt>
                <c:pt idx="7">
                  <c:v>32.92441860465118</c:v>
                </c:pt>
                <c:pt idx="8">
                  <c:v>37.627906976744157</c:v>
                </c:pt>
                <c:pt idx="9">
                  <c:v>42.331395348837191</c:v>
                </c:pt>
                <c:pt idx="10">
                  <c:v>47.034883720930225</c:v>
                </c:pt>
                <c:pt idx="11">
                  <c:v>51.738372093023258</c:v>
                </c:pt>
                <c:pt idx="12">
                  <c:v>56.441860465116292</c:v>
                </c:pt>
                <c:pt idx="13">
                  <c:v>61.145348837209326</c:v>
                </c:pt>
                <c:pt idx="14">
                  <c:v>65.84883720930236</c:v>
                </c:pt>
                <c:pt idx="15">
                  <c:v>70.552325581395337</c:v>
                </c:pt>
                <c:pt idx="16">
                  <c:v>75.255813953488371</c:v>
                </c:pt>
                <c:pt idx="17">
                  <c:v>79.959302325581405</c:v>
                </c:pt>
                <c:pt idx="18">
                  <c:v>84.662790697674438</c:v>
                </c:pt>
                <c:pt idx="19">
                  <c:v>89.366279069767415</c:v>
                </c:pt>
                <c:pt idx="20">
                  <c:v>94.069767441860449</c:v>
                </c:pt>
                <c:pt idx="21">
                  <c:v>98.773255813953483</c:v>
                </c:pt>
                <c:pt idx="22">
                  <c:v>103.47674418604652</c:v>
                </c:pt>
                <c:pt idx="23">
                  <c:v>108.18023255813955</c:v>
                </c:pt>
                <c:pt idx="24">
                  <c:v>112.88372093023258</c:v>
                </c:pt>
                <c:pt idx="25">
                  <c:v>117.58720930232556</c:v>
                </c:pt>
                <c:pt idx="26">
                  <c:v>122.2906976744186</c:v>
                </c:pt>
                <c:pt idx="27">
                  <c:v>126.99418604651163</c:v>
                </c:pt>
                <c:pt idx="28">
                  <c:v>131.69767441860466</c:v>
                </c:pt>
                <c:pt idx="29">
                  <c:v>136.40116279069764</c:v>
                </c:pt>
                <c:pt idx="30">
                  <c:v>141.10465116279067</c:v>
                </c:pt>
                <c:pt idx="31">
                  <c:v>145.80813953488371</c:v>
                </c:pt>
                <c:pt idx="32">
                  <c:v>150.51162790697674</c:v>
                </c:pt>
                <c:pt idx="33">
                  <c:v>155.21511627906978</c:v>
                </c:pt>
                <c:pt idx="34">
                  <c:v>159.91860465116278</c:v>
                </c:pt>
                <c:pt idx="35">
                  <c:v>164.62209302325581</c:v>
                </c:pt>
                <c:pt idx="36">
                  <c:v>169.32558139534885</c:v>
                </c:pt>
                <c:pt idx="37">
                  <c:v>174.02906976744185</c:v>
                </c:pt>
                <c:pt idx="38">
                  <c:v>178.73255813953489</c:v>
                </c:pt>
                <c:pt idx="39">
                  <c:v>183.43604651162789</c:v>
                </c:pt>
                <c:pt idx="40">
                  <c:v>188.13953488372093</c:v>
                </c:pt>
                <c:pt idx="41">
                  <c:v>192.84302325581396</c:v>
                </c:pt>
                <c:pt idx="42">
                  <c:v>197.54651162790697</c:v>
                </c:pt>
                <c:pt idx="43">
                  <c:v>202.25</c:v>
                </c:pt>
                <c:pt idx="44">
                  <c:v>206.95348837209303</c:v>
                </c:pt>
                <c:pt idx="45">
                  <c:v>211.65697674418604</c:v>
                </c:pt>
                <c:pt idx="46">
                  <c:v>216.36046511627907</c:v>
                </c:pt>
                <c:pt idx="47">
                  <c:v>221.06395348837211</c:v>
                </c:pt>
                <c:pt idx="48">
                  <c:v>225.76744186046511</c:v>
                </c:pt>
                <c:pt idx="49">
                  <c:v>230.47093023255815</c:v>
                </c:pt>
                <c:pt idx="50">
                  <c:v>235.17441860465115</c:v>
                </c:pt>
                <c:pt idx="51">
                  <c:v>239.87790697674419</c:v>
                </c:pt>
                <c:pt idx="52">
                  <c:v>244.58139534883722</c:v>
                </c:pt>
                <c:pt idx="53">
                  <c:v>249.28488372093022</c:v>
                </c:pt>
                <c:pt idx="54">
                  <c:v>253.98837209302326</c:v>
                </c:pt>
                <c:pt idx="55">
                  <c:v>258.69186046511629</c:v>
                </c:pt>
                <c:pt idx="56">
                  <c:v>263.39534883720933</c:v>
                </c:pt>
                <c:pt idx="57">
                  <c:v>268.0988372093023</c:v>
                </c:pt>
                <c:pt idx="58">
                  <c:v>272.80232558139534</c:v>
                </c:pt>
                <c:pt idx="59">
                  <c:v>277.50581395348837</c:v>
                </c:pt>
                <c:pt idx="60">
                  <c:v>282.2093023255814</c:v>
                </c:pt>
                <c:pt idx="61">
                  <c:v>286.91279069767444</c:v>
                </c:pt>
                <c:pt idx="62">
                  <c:v>291.61627906976742</c:v>
                </c:pt>
                <c:pt idx="63">
                  <c:v>296.31976744186045</c:v>
                </c:pt>
                <c:pt idx="64">
                  <c:v>301.02325581395348</c:v>
                </c:pt>
                <c:pt idx="65">
                  <c:v>305.72674418604652</c:v>
                </c:pt>
                <c:pt idx="66">
                  <c:v>310.43023255813955</c:v>
                </c:pt>
                <c:pt idx="67">
                  <c:v>315.13372093023258</c:v>
                </c:pt>
                <c:pt idx="68">
                  <c:v>319.83720930232556</c:v>
                </c:pt>
                <c:pt idx="69">
                  <c:v>324.5406976744186</c:v>
                </c:pt>
                <c:pt idx="70">
                  <c:v>329.24418604651163</c:v>
                </c:pt>
                <c:pt idx="71">
                  <c:v>333.94767441860466</c:v>
                </c:pt>
                <c:pt idx="72">
                  <c:v>338.6511627906977</c:v>
                </c:pt>
                <c:pt idx="73">
                  <c:v>343.35465116279067</c:v>
                </c:pt>
                <c:pt idx="74">
                  <c:v>348.05813953488371</c:v>
                </c:pt>
                <c:pt idx="75">
                  <c:v>352.76162790697674</c:v>
                </c:pt>
                <c:pt idx="76">
                  <c:v>357.46511627906978</c:v>
                </c:pt>
                <c:pt idx="77">
                  <c:v>362.16860465116281</c:v>
                </c:pt>
                <c:pt idx="78">
                  <c:v>366.87209302325579</c:v>
                </c:pt>
                <c:pt idx="79">
                  <c:v>371.57558139534882</c:v>
                </c:pt>
                <c:pt idx="80">
                  <c:v>376.27906976744185</c:v>
                </c:pt>
                <c:pt idx="81">
                  <c:v>380.98255813953489</c:v>
                </c:pt>
                <c:pt idx="82">
                  <c:v>385.68604651162792</c:v>
                </c:pt>
                <c:pt idx="83">
                  <c:v>390.38953488372096</c:v>
                </c:pt>
                <c:pt idx="84">
                  <c:v>395.09302325581393</c:v>
                </c:pt>
                <c:pt idx="85">
                  <c:v>399.79651162790697</c:v>
                </c:pt>
                <c:pt idx="86">
                  <c:v>404.5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C-43C4-A772-DBDD547D901F}"/>
            </c:ext>
          </c:extLst>
        </c:ser>
        <c:ser>
          <c:idx val="2"/>
          <c:order val="2"/>
          <c:tx>
            <c:strRef>
              <c:f>'Burn Acumulado'!H9</c:f>
              <c:strCache>
                <c:ptCount val="1"/>
                <c:pt idx="0">
                  <c:v>Real completado (HH)</c:v>
                </c:pt>
              </c:strCache>
            </c:strRef>
          </c:tx>
          <c:spPr>
            <a:ln w="2808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Acumulado'!$H$10:$H$96</c:f>
              <c:numCache>
                <c:formatCode>0.0</c:formatCode>
                <c:ptCount val="87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15</c:v>
                </c:pt>
                <c:pt idx="5">
                  <c:v>20</c:v>
                </c:pt>
                <c:pt idx="6">
                  <c:v>24</c:v>
                </c:pt>
                <c:pt idx="7">
                  <c:v>29</c:v>
                </c:pt>
                <c:pt idx="8">
                  <c:v>34</c:v>
                </c:pt>
                <c:pt idx="9">
                  <c:v>36</c:v>
                </c:pt>
                <c:pt idx="10">
                  <c:v>36</c:v>
                </c:pt>
                <c:pt idx="11">
                  <c:v>42</c:v>
                </c:pt>
                <c:pt idx="12">
                  <c:v>44</c:v>
                </c:pt>
                <c:pt idx="13">
                  <c:v>47</c:v>
                </c:pt>
                <c:pt idx="14">
                  <c:v>57</c:v>
                </c:pt>
                <c:pt idx="15">
                  <c:v>57</c:v>
                </c:pt>
                <c:pt idx="16">
                  <c:v>64</c:v>
                </c:pt>
                <c:pt idx="17">
                  <c:v>67</c:v>
                </c:pt>
                <c:pt idx="18">
                  <c:v>71</c:v>
                </c:pt>
                <c:pt idx="19">
                  <c:v>78</c:v>
                </c:pt>
                <c:pt idx="20">
                  <c:v>78</c:v>
                </c:pt>
                <c:pt idx="21">
                  <c:v>89</c:v>
                </c:pt>
                <c:pt idx="22">
                  <c:v>92</c:v>
                </c:pt>
                <c:pt idx="23">
                  <c:v>96</c:v>
                </c:pt>
                <c:pt idx="24">
                  <c:v>104</c:v>
                </c:pt>
                <c:pt idx="25">
                  <c:v>106</c:v>
                </c:pt>
                <c:pt idx="26">
                  <c:v>114</c:v>
                </c:pt>
                <c:pt idx="27">
                  <c:v>117</c:v>
                </c:pt>
                <c:pt idx="28">
                  <c:v>127</c:v>
                </c:pt>
                <c:pt idx="29">
                  <c:v>129</c:v>
                </c:pt>
                <c:pt idx="30">
                  <c:v>137</c:v>
                </c:pt>
                <c:pt idx="31">
                  <c:v>139</c:v>
                </c:pt>
                <c:pt idx="32">
                  <c:v>143</c:v>
                </c:pt>
                <c:pt idx="33">
                  <c:v>147</c:v>
                </c:pt>
                <c:pt idx="34">
                  <c:v>158</c:v>
                </c:pt>
                <c:pt idx="35">
                  <c:v>163</c:v>
                </c:pt>
                <c:pt idx="36">
                  <c:v>171</c:v>
                </c:pt>
                <c:pt idx="37">
                  <c:v>175</c:v>
                </c:pt>
                <c:pt idx="38">
                  <c:v>176.5</c:v>
                </c:pt>
                <c:pt idx="39">
                  <c:v>176.5</c:v>
                </c:pt>
                <c:pt idx="40">
                  <c:v>176.5</c:v>
                </c:pt>
                <c:pt idx="41">
                  <c:v>176.5</c:v>
                </c:pt>
                <c:pt idx="42">
                  <c:v>176.5</c:v>
                </c:pt>
                <c:pt idx="43">
                  <c:v>176.5</c:v>
                </c:pt>
                <c:pt idx="44">
                  <c:v>176.5</c:v>
                </c:pt>
                <c:pt idx="45">
                  <c:v>176.5</c:v>
                </c:pt>
                <c:pt idx="46">
                  <c:v>176.5</c:v>
                </c:pt>
                <c:pt idx="47">
                  <c:v>177.5</c:v>
                </c:pt>
                <c:pt idx="48">
                  <c:v>177.5</c:v>
                </c:pt>
                <c:pt idx="49">
                  <c:v>183.5</c:v>
                </c:pt>
                <c:pt idx="50">
                  <c:v>187.5</c:v>
                </c:pt>
                <c:pt idx="51">
                  <c:v>187.5</c:v>
                </c:pt>
                <c:pt idx="52">
                  <c:v>191.5</c:v>
                </c:pt>
                <c:pt idx="53">
                  <c:v>199.5</c:v>
                </c:pt>
                <c:pt idx="54">
                  <c:v>206.5</c:v>
                </c:pt>
                <c:pt idx="55">
                  <c:v>214.5</c:v>
                </c:pt>
                <c:pt idx="56">
                  <c:v>218.5</c:v>
                </c:pt>
                <c:pt idx="57">
                  <c:v>230.5</c:v>
                </c:pt>
                <c:pt idx="58">
                  <c:v>230.5</c:v>
                </c:pt>
                <c:pt idx="59">
                  <c:v>236.5</c:v>
                </c:pt>
                <c:pt idx="60">
                  <c:v>242.5</c:v>
                </c:pt>
                <c:pt idx="61">
                  <c:v>242.5</c:v>
                </c:pt>
                <c:pt idx="62">
                  <c:v>262.5</c:v>
                </c:pt>
                <c:pt idx="63">
                  <c:v>270.5</c:v>
                </c:pt>
                <c:pt idx="64">
                  <c:v>285.5</c:v>
                </c:pt>
                <c:pt idx="65">
                  <c:v>294</c:v>
                </c:pt>
                <c:pt idx="66">
                  <c:v>295</c:v>
                </c:pt>
                <c:pt idx="67">
                  <c:v>296</c:v>
                </c:pt>
                <c:pt idx="68">
                  <c:v>301</c:v>
                </c:pt>
                <c:pt idx="69">
                  <c:v>302</c:v>
                </c:pt>
                <c:pt idx="70">
                  <c:v>303</c:v>
                </c:pt>
                <c:pt idx="71">
                  <c:v>307</c:v>
                </c:pt>
                <c:pt idx="72">
                  <c:v>311</c:v>
                </c:pt>
                <c:pt idx="73">
                  <c:v>311</c:v>
                </c:pt>
                <c:pt idx="74">
                  <c:v>313</c:v>
                </c:pt>
                <c:pt idx="75">
                  <c:v>317</c:v>
                </c:pt>
                <c:pt idx="76">
                  <c:v>320</c:v>
                </c:pt>
                <c:pt idx="77">
                  <c:v>329</c:v>
                </c:pt>
                <c:pt idx="78">
                  <c:v>332</c:v>
                </c:pt>
                <c:pt idx="79">
                  <c:v>339</c:v>
                </c:pt>
                <c:pt idx="80">
                  <c:v>341</c:v>
                </c:pt>
                <c:pt idx="81">
                  <c:v>345</c:v>
                </c:pt>
                <c:pt idx="82">
                  <c:v>349</c:v>
                </c:pt>
                <c:pt idx="83">
                  <c:v>354</c:v>
                </c:pt>
                <c:pt idx="84">
                  <c:v>356</c:v>
                </c:pt>
                <c:pt idx="85">
                  <c:v>362</c:v>
                </c:pt>
                <c:pt idx="86">
                  <c:v>404.5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FC-43C4-A772-DBDD547D901F}"/>
            </c:ext>
          </c:extLst>
        </c:ser>
        <c:ser>
          <c:idx val="3"/>
          <c:order val="3"/>
          <c:tx>
            <c:strRef>
              <c:f>'Burn Acumulado'!I9</c:f>
              <c:strCache>
                <c:ptCount val="1"/>
                <c:pt idx="0">
                  <c:v>HH Efectivas acumuladas</c:v>
                </c:pt>
              </c:strCache>
            </c:strRef>
          </c:tx>
          <c:spPr>
            <a:ln w="2808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'Burn Acumulado'!$C$10:$C$96</c:f>
              <c:numCache>
                <c:formatCode>dd/mm/yyyy</c:formatCode>
                <c:ptCount val="87"/>
                <c:pt idx="0">
                  <c:v>46142</c:v>
                </c:pt>
                <c:pt idx="1">
                  <c:v>46143</c:v>
                </c:pt>
                <c:pt idx="2">
                  <c:v>46144</c:v>
                </c:pt>
                <c:pt idx="3">
                  <c:v>46145</c:v>
                </c:pt>
                <c:pt idx="4">
                  <c:v>46146</c:v>
                </c:pt>
                <c:pt idx="5">
                  <c:v>46147</c:v>
                </c:pt>
                <c:pt idx="6">
                  <c:v>46148</c:v>
                </c:pt>
                <c:pt idx="7">
                  <c:v>46149</c:v>
                </c:pt>
                <c:pt idx="8">
                  <c:v>46150</c:v>
                </c:pt>
                <c:pt idx="9">
                  <c:v>46151</c:v>
                </c:pt>
                <c:pt idx="10">
                  <c:v>46152</c:v>
                </c:pt>
                <c:pt idx="11">
                  <c:v>46153</c:v>
                </c:pt>
                <c:pt idx="12">
                  <c:v>46154</c:v>
                </c:pt>
                <c:pt idx="13">
                  <c:v>46155</c:v>
                </c:pt>
                <c:pt idx="14">
                  <c:v>46156</c:v>
                </c:pt>
                <c:pt idx="15">
                  <c:v>46157</c:v>
                </c:pt>
                <c:pt idx="16">
                  <c:v>46158</c:v>
                </c:pt>
                <c:pt idx="17">
                  <c:v>46159</c:v>
                </c:pt>
                <c:pt idx="18">
                  <c:v>46160</c:v>
                </c:pt>
                <c:pt idx="19">
                  <c:v>46161</c:v>
                </c:pt>
                <c:pt idx="20">
                  <c:v>46162</c:v>
                </c:pt>
                <c:pt idx="21">
                  <c:v>46163</c:v>
                </c:pt>
                <c:pt idx="22">
                  <c:v>46164</c:v>
                </c:pt>
                <c:pt idx="23">
                  <c:v>46165</c:v>
                </c:pt>
                <c:pt idx="24">
                  <c:v>46166</c:v>
                </c:pt>
                <c:pt idx="25">
                  <c:v>46167</c:v>
                </c:pt>
                <c:pt idx="26">
                  <c:v>46168</c:v>
                </c:pt>
                <c:pt idx="27">
                  <c:v>46169</c:v>
                </c:pt>
                <c:pt idx="28">
                  <c:v>46170</c:v>
                </c:pt>
                <c:pt idx="29">
                  <c:v>46171</c:v>
                </c:pt>
                <c:pt idx="30">
                  <c:v>46172</c:v>
                </c:pt>
                <c:pt idx="31">
                  <c:v>46173</c:v>
                </c:pt>
                <c:pt idx="32">
                  <c:v>46174</c:v>
                </c:pt>
                <c:pt idx="33">
                  <c:v>46175</c:v>
                </c:pt>
                <c:pt idx="34">
                  <c:v>46176</c:v>
                </c:pt>
                <c:pt idx="35">
                  <c:v>46177</c:v>
                </c:pt>
                <c:pt idx="36">
                  <c:v>46178</c:v>
                </c:pt>
                <c:pt idx="37">
                  <c:v>46179</c:v>
                </c:pt>
                <c:pt idx="38">
                  <c:v>46180</c:v>
                </c:pt>
                <c:pt idx="39">
                  <c:v>46181</c:v>
                </c:pt>
                <c:pt idx="40">
                  <c:v>46182</c:v>
                </c:pt>
                <c:pt idx="41">
                  <c:v>46183</c:v>
                </c:pt>
                <c:pt idx="42">
                  <c:v>46184</c:v>
                </c:pt>
                <c:pt idx="43">
                  <c:v>46185</c:v>
                </c:pt>
                <c:pt idx="44">
                  <c:v>46186</c:v>
                </c:pt>
                <c:pt idx="45">
                  <c:v>46187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46263</c:v>
                </c:pt>
                <c:pt idx="51">
                  <c:v>46264</c:v>
                </c:pt>
                <c:pt idx="52">
                  <c:v>46265</c:v>
                </c:pt>
                <c:pt idx="53">
                  <c:v>46266</c:v>
                </c:pt>
                <c:pt idx="54">
                  <c:v>46267</c:v>
                </c:pt>
                <c:pt idx="55">
                  <c:v>46268</c:v>
                </c:pt>
                <c:pt idx="56">
                  <c:v>46269</c:v>
                </c:pt>
                <c:pt idx="57">
                  <c:v>46270</c:v>
                </c:pt>
                <c:pt idx="58">
                  <c:v>46271</c:v>
                </c:pt>
                <c:pt idx="59">
                  <c:v>46272</c:v>
                </c:pt>
                <c:pt idx="60">
                  <c:v>46273</c:v>
                </c:pt>
                <c:pt idx="61">
                  <c:v>46274</c:v>
                </c:pt>
                <c:pt idx="62">
                  <c:v>46275</c:v>
                </c:pt>
                <c:pt idx="63">
                  <c:v>46276</c:v>
                </c:pt>
                <c:pt idx="64">
                  <c:v>46277</c:v>
                </c:pt>
                <c:pt idx="65">
                  <c:v>46278</c:v>
                </c:pt>
                <c:pt idx="66">
                  <c:v>46279</c:v>
                </c:pt>
                <c:pt idx="67">
                  <c:v>46280</c:v>
                </c:pt>
                <c:pt idx="68">
                  <c:v>46281</c:v>
                </c:pt>
                <c:pt idx="69">
                  <c:v>46282</c:v>
                </c:pt>
                <c:pt idx="70">
                  <c:v>46283</c:v>
                </c:pt>
                <c:pt idx="71">
                  <c:v>46284</c:v>
                </c:pt>
                <c:pt idx="72">
                  <c:v>46285</c:v>
                </c:pt>
                <c:pt idx="73">
                  <c:v>46286</c:v>
                </c:pt>
                <c:pt idx="74">
                  <c:v>46287</c:v>
                </c:pt>
                <c:pt idx="75">
                  <c:v>46288</c:v>
                </c:pt>
                <c:pt idx="76">
                  <c:v>46289</c:v>
                </c:pt>
                <c:pt idx="77">
                  <c:v>46290</c:v>
                </c:pt>
                <c:pt idx="78">
                  <c:v>46291</c:v>
                </c:pt>
                <c:pt idx="79">
                  <c:v>46292</c:v>
                </c:pt>
                <c:pt idx="80">
                  <c:v>46293</c:v>
                </c:pt>
                <c:pt idx="81">
                  <c:v>46294</c:v>
                </c:pt>
                <c:pt idx="82">
                  <c:v>46295</c:v>
                </c:pt>
                <c:pt idx="83">
                  <c:v>46296</c:v>
                </c:pt>
                <c:pt idx="84">
                  <c:v>46297</c:v>
                </c:pt>
                <c:pt idx="85">
                  <c:v>46298</c:v>
                </c:pt>
                <c:pt idx="86">
                  <c:v>46299</c:v>
                </c:pt>
              </c:numCache>
            </c:numRef>
          </c:cat>
          <c:val>
            <c:numRef>
              <c:f>'Burn Acumulado'!$I$10:$I$96</c:f>
              <c:numCache>
                <c:formatCode>0.0</c:formatCode>
                <c:ptCount val="87"/>
                <c:pt idx="0">
                  <c:v>1</c:v>
                </c:pt>
                <c:pt idx="1">
                  <c:v>7.5</c:v>
                </c:pt>
                <c:pt idx="2">
                  <c:v>9</c:v>
                </c:pt>
                <c:pt idx="3">
                  <c:v>15.5</c:v>
                </c:pt>
                <c:pt idx="4">
                  <c:v>19.5</c:v>
                </c:pt>
                <c:pt idx="5">
                  <c:v>26</c:v>
                </c:pt>
                <c:pt idx="6">
                  <c:v>31</c:v>
                </c:pt>
                <c:pt idx="7">
                  <c:v>37.5</c:v>
                </c:pt>
                <c:pt idx="8">
                  <c:v>44</c:v>
                </c:pt>
                <c:pt idx="9">
                  <c:v>46.5</c:v>
                </c:pt>
                <c:pt idx="10">
                  <c:v>46.5</c:v>
                </c:pt>
                <c:pt idx="11">
                  <c:v>54</c:v>
                </c:pt>
                <c:pt idx="12">
                  <c:v>56.5</c:v>
                </c:pt>
                <c:pt idx="13">
                  <c:v>60.5</c:v>
                </c:pt>
                <c:pt idx="14">
                  <c:v>73.5</c:v>
                </c:pt>
                <c:pt idx="15">
                  <c:v>73.5</c:v>
                </c:pt>
                <c:pt idx="16">
                  <c:v>82.5</c:v>
                </c:pt>
                <c:pt idx="17">
                  <c:v>86.5</c:v>
                </c:pt>
                <c:pt idx="18">
                  <c:v>91.5</c:v>
                </c:pt>
                <c:pt idx="19">
                  <c:v>100.5</c:v>
                </c:pt>
                <c:pt idx="20">
                  <c:v>100.5</c:v>
                </c:pt>
                <c:pt idx="21">
                  <c:v>115</c:v>
                </c:pt>
                <c:pt idx="22">
                  <c:v>119</c:v>
                </c:pt>
                <c:pt idx="23">
                  <c:v>124</c:v>
                </c:pt>
                <c:pt idx="24">
                  <c:v>134</c:v>
                </c:pt>
                <c:pt idx="25">
                  <c:v>136.5</c:v>
                </c:pt>
                <c:pt idx="26">
                  <c:v>146</c:v>
                </c:pt>
                <c:pt idx="27">
                  <c:v>150</c:v>
                </c:pt>
                <c:pt idx="28">
                  <c:v>163</c:v>
                </c:pt>
                <c:pt idx="29">
                  <c:v>165.5</c:v>
                </c:pt>
                <c:pt idx="30">
                  <c:v>175</c:v>
                </c:pt>
                <c:pt idx="31">
                  <c:v>177.5</c:v>
                </c:pt>
                <c:pt idx="32">
                  <c:v>182.5</c:v>
                </c:pt>
                <c:pt idx="33">
                  <c:v>187.5</c:v>
                </c:pt>
                <c:pt idx="34">
                  <c:v>202</c:v>
                </c:pt>
                <c:pt idx="35">
                  <c:v>209</c:v>
                </c:pt>
                <c:pt idx="36">
                  <c:v>219</c:v>
                </c:pt>
                <c:pt idx="37">
                  <c:v>224.5</c:v>
                </c:pt>
                <c:pt idx="38">
                  <c:v>226.5</c:v>
                </c:pt>
                <c:pt idx="39">
                  <c:v>226.5</c:v>
                </c:pt>
                <c:pt idx="40">
                  <c:v>226.5</c:v>
                </c:pt>
                <c:pt idx="41">
                  <c:v>226.5</c:v>
                </c:pt>
                <c:pt idx="42">
                  <c:v>226.5</c:v>
                </c:pt>
                <c:pt idx="43">
                  <c:v>226.5</c:v>
                </c:pt>
                <c:pt idx="44">
                  <c:v>226.5</c:v>
                </c:pt>
                <c:pt idx="45">
                  <c:v>226.5</c:v>
                </c:pt>
                <c:pt idx="46">
                  <c:v>226.5</c:v>
                </c:pt>
                <c:pt idx="47">
                  <c:v>231</c:v>
                </c:pt>
                <c:pt idx="48">
                  <c:v>231</c:v>
                </c:pt>
                <c:pt idx="49">
                  <c:v>235.5</c:v>
                </c:pt>
                <c:pt idx="50">
                  <c:v>241</c:v>
                </c:pt>
                <c:pt idx="51">
                  <c:v>241</c:v>
                </c:pt>
                <c:pt idx="52">
                  <c:v>244.5</c:v>
                </c:pt>
                <c:pt idx="53">
                  <c:v>252</c:v>
                </c:pt>
                <c:pt idx="54">
                  <c:v>259</c:v>
                </c:pt>
                <c:pt idx="55">
                  <c:v>272</c:v>
                </c:pt>
                <c:pt idx="56">
                  <c:v>276.5</c:v>
                </c:pt>
                <c:pt idx="57">
                  <c:v>290</c:v>
                </c:pt>
                <c:pt idx="58">
                  <c:v>290</c:v>
                </c:pt>
                <c:pt idx="59">
                  <c:v>299.5</c:v>
                </c:pt>
                <c:pt idx="60">
                  <c:v>307.5</c:v>
                </c:pt>
                <c:pt idx="61">
                  <c:v>307.5</c:v>
                </c:pt>
                <c:pt idx="62">
                  <c:v>338</c:v>
                </c:pt>
                <c:pt idx="63">
                  <c:v>347.5</c:v>
                </c:pt>
                <c:pt idx="64">
                  <c:v>373</c:v>
                </c:pt>
                <c:pt idx="65">
                  <c:v>390</c:v>
                </c:pt>
                <c:pt idx="66">
                  <c:v>391</c:v>
                </c:pt>
                <c:pt idx="67">
                  <c:v>392</c:v>
                </c:pt>
                <c:pt idx="68">
                  <c:v>398</c:v>
                </c:pt>
                <c:pt idx="69">
                  <c:v>399</c:v>
                </c:pt>
                <c:pt idx="70">
                  <c:v>400</c:v>
                </c:pt>
                <c:pt idx="71">
                  <c:v>405</c:v>
                </c:pt>
                <c:pt idx="72">
                  <c:v>410</c:v>
                </c:pt>
                <c:pt idx="73">
                  <c:v>410</c:v>
                </c:pt>
                <c:pt idx="74">
                  <c:v>411.5</c:v>
                </c:pt>
                <c:pt idx="75">
                  <c:v>415.5</c:v>
                </c:pt>
                <c:pt idx="76">
                  <c:v>418</c:v>
                </c:pt>
                <c:pt idx="77">
                  <c:v>429.5</c:v>
                </c:pt>
                <c:pt idx="78">
                  <c:v>433</c:v>
                </c:pt>
                <c:pt idx="79">
                  <c:v>441.5</c:v>
                </c:pt>
                <c:pt idx="80">
                  <c:v>443.5</c:v>
                </c:pt>
                <c:pt idx="81">
                  <c:v>447.5</c:v>
                </c:pt>
                <c:pt idx="82">
                  <c:v>451.5</c:v>
                </c:pt>
                <c:pt idx="83">
                  <c:v>457</c:v>
                </c:pt>
                <c:pt idx="84">
                  <c:v>460</c:v>
                </c:pt>
                <c:pt idx="85">
                  <c:v>466.5</c:v>
                </c:pt>
                <c:pt idx="86">
                  <c:v>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FC-43C4-A772-DBDD547D9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989911"/>
        <c:axId val="24810141"/>
      </c:lineChart>
      <c:dateAx>
        <c:axId val="409899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4810141"/>
        <c:crosses val="autoZero"/>
        <c:auto val="1"/>
        <c:lblOffset val="100"/>
        <c:baseTimeUnit val="days"/>
      </c:dateAx>
      <c:valAx>
        <c:axId val="2481014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09899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0</xdr:row>
      <xdr:rowOff>0</xdr:rowOff>
    </xdr:from>
    <xdr:to>
      <xdr:col>24</xdr:col>
      <xdr:colOff>68955</xdr:colOff>
      <xdr:row>17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561975</xdr:colOff>
      <xdr:row>30</xdr:row>
      <xdr:rowOff>0</xdr:rowOff>
    </xdr:from>
    <xdr:to>
      <xdr:col>24</xdr:col>
      <xdr:colOff>59430</xdr:colOff>
      <xdr:row>48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4"/>
  <sheetViews>
    <sheetView zoomScaleNormal="100" workbookViewId="0">
      <pane ySplit="2" topLeftCell="H126" activePane="bottomLeft" state="frozen"/>
      <selection pane="bottomLeft" activeCell="R156" sqref="R156"/>
    </sheetView>
  </sheetViews>
  <sheetFormatPr defaultColWidth="14.42578125" defaultRowHeight="15"/>
  <cols>
    <col min="1" max="1" width="10" customWidth="1"/>
    <col min="2" max="2" width="18" customWidth="1"/>
    <col min="3" max="3" width="8" customWidth="1"/>
    <col min="4" max="4" width="62" customWidth="1"/>
    <col min="5" max="5" width="22" customWidth="1"/>
    <col min="6" max="6" width="8" customWidth="1"/>
    <col min="7" max="7" width="12" customWidth="1"/>
    <col min="8" max="8" width="55" customWidth="1"/>
    <col min="9" max="9" width="18" customWidth="1"/>
    <col min="10" max="10" width="32" customWidth="1"/>
    <col min="11" max="11" width="20" customWidth="1"/>
    <col min="12" max="15" width="14" customWidth="1"/>
  </cols>
  <sheetData>
    <row r="1" spans="1:15" ht="15.75" customHeight="1">
      <c r="A1" s="134" t="s">
        <v>0</v>
      </c>
      <c r="B1" s="134"/>
      <c r="C1" s="134"/>
      <c r="D1" s="134"/>
      <c r="E1" s="134"/>
      <c r="F1" s="134"/>
      <c r="G1" s="134"/>
      <c r="H1" s="135" t="s">
        <v>1</v>
      </c>
      <c r="I1" s="135"/>
      <c r="J1" s="135"/>
      <c r="K1" s="135"/>
      <c r="L1" s="135"/>
      <c r="M1" s="136" t="s">
        <v>2</v>
      </c>
      <c r="N1" s="136"/>
      <c r="O1" s="136"/>
    </row>
    <row r="2" spans="1: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spans="1:15" ht="22.5" customHeight="1">
      <c r="A3" s="2">
        <v>1</v>
      </c>
      <c r="B3" s="3" t="s">
        <v>18</v>
      </c>
      <c r="C3" s="2" t="s">
        <v>19</v>
      </c>
      <c r="D3" s="4" t="s">
        <v>20</v>
      </c>
      <c r="E3" s="2" t="s">
        <v>21</v>
      </c>
      <c r="F3" s="5">
        <v>1</v>
      </c>
      <c r="G3" s="6" t="s">
        <v>22</v>
      </c>
      <c r="H3" s="4" t="s">
        <v>23</v>
      </c>
      <c r="I3" s="7" t="s">
        <v>24</v>
      </c>
      <c r="J3" s="4" t="s">
        <v>25</v>
      </c>
      <c r="K3" s="7" t="s">
        <v>26</v>
      </c>
      <c r="L3" s="8">
        <v>46180</v>
      </c>
      <c r="M3" s="8">
        <v>46142</v>
      </c>
      <c r="N3" s="8">
        <v>46142</v>
      </c>
      <c r="O3" s="5">
        <v>1</v>
      </c>
    </row>
    <row r="4" spans="1:15" ht="33" customHeight="1">
      <c r="A4" s="2">
        <v>1</v>
      </c>
      <c r="B4" s="3" t="s">
        <v>18</v>
      </c>
      <c r="C4" s="2" t="s">
        <v>27</v>
      </c>
      <c r="D4" s="4" t="s">
        <v>28</v>
      </c>
      <c r="E4" s="2" t="s">
        <v>29</v>
      </c>
      <c r="F4" s="5">
        <v>3</v>
      </c>
      <c r="G4" s="6" t="s">
        <v>22</v>
      </c>
      <c r="H4" s="4" t="s">
        <v>30</v>
      </c>
      <c r="I4" s="7" t="s">
        <v>24</v>
      </c>
      <c r="J4" s="4" t="s">
        <v>31</v>
      </c>
      <c r="K4" s="7" t="s">
        <v>32</v>
      </c>
      <c r="L4" s="8">
        <v>46180</v>
      </c>
      <c r="M4" s="8">
        <v>46143</v>
      </c>
      <c r="N4" s="8">
        <v>46143</v>
      </c>
      <c r="O4" s="5">
        <v>4</v>
      </c>
    </row>
    <row r="5" spans="1:15" ht="33" customHeight="1">
      <c r="A5" s="2">
        <v>1</v>
      </c>
      <c r="B5" s="3" t="s">
        <v>18</v>
      </c>
      <c r="C5" s="2" t="s">
        <v>33</v>
      </c>
      <c r="D5" s="4" t="s">
        <v>34</v>
      </c>
      <c r="E5" s="2" t="s">
        <v>29</v>
      </c>
      <c r="F5" s="5">
        <v>2</v>
      </c>
      <c r="G5" s="6" t="s">
        <v>22</v>
      </c>
      <c r="H5" s="4" t="s">
        <v>35</v>
      </c>
      <c r="I5" s="7" t="s">
        <v>24</v>
      </c>
      <c r="J5" s="4" t="s">
        <v>36</v>
      </c>
      <c r="K5" s="7" t="s">
        <v>26</v>
      </c>
      <c r="L5" s="8">
        <v>46180</v>
      </c>
      <c r="M5" s="8">
        <v>46143</v>
      </c>
      <c r="N5" s="8">
        <v>46143</v>
      </c>
      <c r="O5" s="5">
        <v>2.5</v>
      </c>
    </row>
    <row r="6" spans="1:15" ht="33" customHeight="1">
      <c r="A6" s="2">
        <v>1</v>
      </c>
      <c r="B6" s="3" t="s">
        <v>18</v>
      </c>
      <c r="C6" s="2" t="s">
        <v>37</v>
      </c>
      <c r="D6" s="4" t="s">
        <v>38</v>
      </c>
      <c r="E6" s="2" t="s">
        <v>21</v>
      </c>
      <c r="F6" s="5">
        <v>1</v>
      </c>
      <c r="G6" s="6" t="s">
        <v>22</v>
      </c>
      <c r="H6" s="4" t="s">
        <v>39</v>
      </c>
      <c r="I6" s="7" t="s">
        <v>24</v>
      </c>
      <c r="J6" s="4" t="s">
        <v>40</v>
      </c>
      <c r="K6" s="7" t="s">
        <v>26</v>
      </c>
      <c r="L6" s="8">
        <v>46180</v>
      </c>
      <c r="M6" s="8">
        <v>46144</v>
      </c>
      <c r="N6" s="8">
        <v>46144</v>
      </c>
      <c r="O6" s="5">
        <v>1.5</v>
      </c>
    </row>
    <row r="7" spans="1:15" ht="33" customHeight="1">
      <c r="A7" s="2">
        <v>1</v>
      </c>
      <c r="B7" s="3" t="s">
        <v>18</v>
      </c>
      <c r="C7" s="2" t="s">
        <v>41</v>
      </c>
      <c r="D7" s="4" t="s">
        <v>42</v>
      </c>
      <c r="E7" s="2" t="s">
        <v>29</v>
      </c>
      <c r="F7" s="5">
        <v>2</v>
      </c>
      <c r="G7" s="6" t="s">
        <v>22</v>
      </c>
      <c r="H7" s="4" t="s">
        <v>43</v>
      </c>
      <c r="I7" s="7" t="s">
        <v>24</v>
      </c>
      <c r="J7" s="4" t="s">
        <v>44</v>
      </c>
      <c r="K7" s="7" t="s">
        <v>26</v>
      </c>
      <c r="L7" s="8">
        <v>46180</v>
      </c>
      <c r="M7" s="8">
        <v>46145</v>
      </c>
      <c r="N7" s="8">
        <v>46145</v>
      </c>
      <c r="O7" s="5">
        <v>2.5</v>
      </c>
    </row>
    <row r="8" spans="1:15" ht="33" customHeight="1">
      <c r="A8" s="2">
        <v>1</v>
      </c>
      <c r="B8" s="3" t="s">
        <v>18</v>
      </c>
      <c r="C8" s="2" t="s">
        <v>45</v>
      </c>
      <c r="D8" s="4" t="s">
        <v>46</v>
      </c>
      <c r="E8" s="2" t="s">
        <v>29</v>
      </c>
      <c r="F8" s="5">
        <v>3</v>
      </c>
      <c r="G8" s="6" t="s">
        <v>22</v>
      </c>
      <c r="H8" s="4" t="s">
        <v>47</v>
      </c>
      <c r="I8" s="7" t="s">
        <v>24</v>
      </c>
      <c r="J8" s="4" t="s">
        <v>48</v>
      </c>
      <c r="K8" s="7" t="s">
        <v>49</v>
      </c>
      <c r="L8" s="8">
        <v>46180</v>
      </c>
      <c r="M8" s="8">
        <v>46145</v>
      </c>
      <c r="N8" s="8">
        <v>46145</v>
      </c>
      <c r="O8" s="5">
        <v>4</v>
      </c>
    </row>
    <row r="9" spans="1:15" ht="22.5" customHeight="1">
      <c r="A9" s="2">
        <v>1</v>
      </c>
      <c r="B9" s="3" t="s">
        <v>18</v>
      </c>
      <c r="C9" s="2" t="s">
        <v>50</v>
      </c>
      <c r="D9" s="4" t="s">
        <v>51</v>
      </c>
      <c r="E9" s="2" t="s">
        <v>21</v>
      </c>
      <c r="F9" s="5">
        <v>1</v>
      </c>
      <c r="G9" s="6" t="s">
        <v>22</v>
      </c>
      <c r="H9" s="4" t="s">
        <v>52</v>
      </c>
      <c r="I9" s="7" t="s">
        <v>24</v>
      </c>
      <c r="J9" s="4" t="s">
        <v>53</v>
      </c>
      <c r="K9" s="7" t="s">
        <v>26</v>
      </c>
      <c r="L9" s="8">
        <v>46180</v>
      </c>
      <c r="M9" s="8">
        <v>46146</v>
      </c>
      <c r="N9" s="8">
        <v>46146</v>
      </c>
      <c r="O9" s="5">
        <v>1.5</v>
      </c>
    </row>
    <row r="10" spans="1:15" ht="22.5" customHeight="1">
      <c r="A10" s="2">
        <v>1</v>
      </c>
      <c r="B10" s="3" t="s">
        <v>18</v>
      </c>
      <c r="C10" s="2" t="s">
        <v>54</v>
      </c>
      <c r="D10" s="4" t="s">
        <v>55</v>
      </c>
      <c r="E10" s="2" t="s">
        <v>21</v>
      </c>
      <c r="F10" s="5">
        <v>2</v>
      </c>
      <c r="G10" s="6" t="s">
        <v>22</v>
      </c>
      <c r="H10" s="4" t="s">
        <v>56</v>
      </c>
      <c r="I10" s="7" t="s">
        <v>24</v>
      </c>
      <c r="J10" s="4" t="s">
        <v>57</v>
      </c>
      <c r="K10" s="7" t="s">
        <v>26</v>
      </c>
      <c r="L10" s="8">
        <v>46180</v>
      </c>
      <c r="M10" s="8">
        <v>46146</v>
      </c>
      <c r="N10" s="8">
        <v>46146</v>
      </c>
      <c r="O10" s="5">
        <v>2.5</v>
      </c>
    </row>
    <row r="11" spans="1:15" ht="33" customHeight="1">
      <c r="A11" s="2">
        <v>1</v>
      </c>
      <c r="B11" s="3" t="s">
        <v>18</v>
      </c>
      <c r="C11" s="2" t="s">
        <v>58</v>
      </c>
      <c r="D11" s="4" t="s">
        <v>59</v>
      </c>
      <c r="E11" s="2" t="s">
        <v>29</v>
      </c>
      <c r="F11" s="5">
        <v>2</v>
      </c>
      <c r="G11" s="6" t="s">
        <v>22</v>
      </c>
      <c r="H11" s="4" t="s">
        <v>60</v>
      </c>
      <c r="I11" s="7" t="s">
        <v>24</v>
      </c>
      <c r="J11" s="4" t="s">
        <v>61</v>
      </c>
      <c r="K11" s="7" t="s">
        <v>62</v>
      </c>
      <c r="L11" s="8">
        <v>46180</v>
      </c>
      <c r="M11" s="8">
        <v>46147</v>
      </c>
      <c r="N11" s="8">
        <v>46147</v>
      </c>
      <c r="O11" s="5">
        <v>2.5</v>
      </c>
    </row>
    <row r="12" spans="1:15" ht="33" customHeight="1">
      <c r="A12" s="2">
        <v>1</v>
      </c>
      <c r="B12" s="3" t="s">
        <v>18</v>
      </c>
      <c r="C12" s="2" t="s">
        <v>63</v>
      </c>
      <c r="D12" s="4" t="s">
        <v>64</v>
      </c>
      <c r="E12" s="2" t="s">
        <v>21</v>
      </c>
      <c r="F12" s="5">
        <v>2</v>
      </c>
      <c r="G12" s="6" t="s">
        <v>22</v>
      </c>
      <c r="H12" s="4" t="s">
        <v>65</v>
      </c>
      <c r="I12" s="7" t="s">
        <v>24</v>
      </c>
      <c r="J12" s="4" t="s">
        <v>66</v>
      </c>
      <c r="K12" s="7" t="s">
        <v>26</v>
      </c>
      <c r="L12" s="8">
        <v>46180</v>
      </c>
      <c r="M12" s="8">
        <v>46148</v>
      </c>
      <c r="N12" s="8">
        <v>46148</v>
      </c>
      <c r="O12" s="5">
        <v>2.5</v>
      </c>
    </row>
    <row r="13" spans="1:15" ht="33" customHeight="1">
      <c r="A13" s="2">
        <v>1</v>
      </c>
      <c r="B13" s="3" t="s">
        <v>18</v>
      </c>
      <c r="C13" s="2" t="s">
        <v>67</v>
      </c>
      <c r="D13" s="4" t="s">
        <v>68</v>
      </c>
      <c r="E13" s="2" t="s">
        <v>29</v>
      </c>
      <c r="F13" s="5">
        <v>2</v>
      </c>
      <c r="G13" s="6" t="s">
        <v>22</v>
      </c>
      <c r="H13" s="4" t="s">
        <v>69</v>
      </c>
      <c r="I13" s="7" t="s">
        <v>24</v>
      </c>
      <c r="J13" s="4" t="s">
        <v>70</v>
      </c>
      <c r="K13" s="7" t="s">
        <v>26</v>
      </c>
      <c r="L13" s="8">
        <v>46180</v>
      </c>
      <c r="M13" s="8">
        <v>46148</v>
      </c>
      <c r="N13" s="8">
        <v>46148</v>
      </c>
      <c r="O13" s="5">
        <v>2.5</v>
      </c>
    </row>
    <row r="14" spans="1:15" ht="33" customHeight="1">
      <c r="A14" s="2">
        <v>1</v>
      </c>
      <c r="B14" s="3" t="s">
        <v>18</v>
      </c>
      <c r="C14" s="2" t="s">
        <v>71</v>
      </c>
      <c r="D14" s="4" t="s">
        <v>72</v>
      </c>
      <c r="E14" s="2" t="s">
        <v>21</v>
      </c>
      <c r="F14" s="5">
        <v>2</v>
      </c>
      <c r="G14" s="6" t="s">
        <v>22</v>
      </c>
      <c r="H14" s="4" t="s">
        <v>73</v>
      </c>
      <c r="I14" s="7" t="s">
        <v>24</v>
      </c>
      <c r="J14" s="4" t="s">
        <v>70</v>
      </c>
      <c r="K14" s="7" t="s">
        <v>26</v>
      </c>
      <c r="L14" s="8">
        <v>46180</v>
      </c>
      <c r="M14" s="8">
        <v>46149</v>
      </c>
      <c r="N14" s="8">
        <v>46149</v>
      </c>
      <c r="O14" s="5">
        <v>2.5</v>
      </c>
    </row>
    <row r="15" spans="1:15" ht="33" customHeight="1">
      <c r="A15" s="9">
        <v>1</v>
      </c>
      <c r="B15" s="10" t="s">
        <v>74</v>
      </c>
      <c r="C15" s="9" t="s">
        <v>75</v>
      </c>
      <c r="D15" s="11" t="s">
        <v>76</v>
      </c>
      <c r="E15" s="9" t="s">
        <v>77</v>
      </c>
      <c r="F15" s="12">
        <v>3</v>
      </c>
      <c r="G15" s="6" t="s">
        <v>22</v>
      </c>
      <c r="H15" s="11" t="s">
        <v>78</v>
      </c>
      <c r="I15" s="13" t="s">
        <v>24</v>
      </c>
      <c r="J15" s="11" t="s">
        <v>79</v>
      </c>
      <c r="K15" s="13" t="s">
        <v>80</v>
      </c>
      <c r="L15" s="14">
        <v>46180</v>
      </c>
      <c r="M15" s="14">
        <v>46147</v>
      </c>
      <c r="N15" s="14">
        <v>46147</v>
      </c>
      <c r="O15" s="12">
        <v>4</v>
      </c>
    </row>
    <row r="16" spans="1:15" ht="33" customHeight="1">
      <c r="A16" s="9">
        <v>1</v>
      </c>
      <c r="B16" s="10" t="s">
        <v>74</v>
      </c>
      <c r="C16" s="9" t="s">
        <v>81</v>
      </c>
      <c r="D16" s="11" t="s">
        <v>82</v>
      </c>
      <c r="E16" s="9" t="s">
        <v>83</v>
      </c>
      <c r="F16" s="12">
        <v>3</v>
      </c>
      <c r="G16" s="6" t="s">
        <v>22</v>
      </c>
      <c r="H16" s="11" t="s">
        <v>84</v>
      </c>
      <c r="I16" s="13" t="s">
        <v>85</v>
      </c>
      <c r="J16" s="11" t="s">
        <v>86</v>
      </c>
      <c r="K16" s="13" t="s">
        <v>87</v>
      </c>
      <c r="L16" s="14">
        <v>46180</v>
      </c>
      <c r="M16" s="14">
        <v>46149</v>
      </c>
      <c r="N16" s="14">
        <v>46149</v>
      </c>
      <c r="O16" s="12">
        <v>4</v>
      </c>
    </row>
    <row r="17" spans="1:15" ht="33" customHeight="1">
      <c r="A17" s="9">
        <v>1</v>
      </c>
      <c r="B17" s="10" t="s">
        <v>74</v>
      </c>
      <c r="C17" s="9" t="s">
        <v>88</v>
      </c>
      <c r="D17" s="11" t="s">
        <v>89</v>
      </c>
      <c r="E17" s="9" t="s">
        <v>83</v>
      </c>
      <c r="F17" s="12">
        <v>2</v>
      </c>
      <c r="G17" s="6" t="s">
        <v>22</v>
      </c>
      <c r="H17" s="11" t="s">
        <v>90</v>
      </c>
      <c r="I17" s="13" t="s">
        <v>91</v>
      </c>
      <c r="J17" s="11" t="s">
        <v>92</v>
      </c>
      <c r="K17" s="13" t="s">
        <v>87</v>
      </c>
      <c r="L17" s="14">
        <v>46180</v>
      </c>
      <c r="M17" s="14">
        <v>46150</v>
      </c>
      <c r="N17" s="14">
        <v>46150</v>
      </c>
      <c r="O17" s="12">
        <v>2.5</v>
      </c>
    </row>
    <row r="18" spans="1:15" ht="33" customHeight="1">
      <c r="A18" s="9">
        <v>1</v>
      </c>
      <c r="B18" s="10" t="s">
        <v>74</v>
      </c>
      <c r="C18" s="9" t="s">
        <v>93</v>
      </c>
      <c r="D18" s="11" t="s">
        <v>94</v>
      </c>
      <c r="E18" s="9" t="s">
        <v>77</v>
      </c>
      <c r="F18" s="12">
        <v>2</v>
      </c>
      <c r="G18" s="6" t="s">
        <v>22</v>
      </c>
      <c r="H18" s="11" t="s">
        <v>95</v>
      </c>
      <c r="I18" s="13" t="s">
        <v>24</v>
      </c>
      <c r="J18" s="11" t="s">
        <v>96</v>
      </c>
      <c r="K18" s="13" t="s">
        <v>97</v>
      </c>
      <c r="L18" s="14">
        <v>46180</v>
      </c>
      <c r="M18" s="14">
        <v>46151</v>
      </c>
      <c r="N18" s="14">
        <v>46151</v>
      </c>
      <c r="O18" s="12">
        <v>2.5</v>
      </c>
    </row>
    <row r="19" spans="1:15" ht="33" customHeight="1">
      <c r="A19" s="9">
        <v>1</v>
      </c>
      <c r="B19" s="10" t="s">
        <v>74</v>
      </c>
      <c r="C19" s="9" t="s">
        <v>98</v>
      </c>
      <c r="D19" s="11" t="s">
        <v>99</v>
      </c>
      <c r="E19" s="9" t="s">
        <v>77</v>
      </c>
      <c r="F19" s="12">
        <v>2</v>
      </c>
      <c r="G19" s="6" t="s">
        <v>22</v>
      </c>
      <c r="H19" s="11" t="s">
        <v>100</v>
      </c>
      <c r="I19" s="13" t="s">
        <v>24</v>
      </c>
      <c r="J19" s="11" t="s">
        <v>101</v>
      </c>
      <c r="K19" s="13" t="s">
        <v>49</v>
      </c>
      <c r="L19" s="14">
        <v>46180</v>
      </c>
      <c r="M19" s="14">
        <v>46153</v>
      </c>
      <c r="N19" s="14">
        <v>46153</v>
      </c>
      <c r="O19" s="12">
        <v>2.5</v>
      </c>
    </row>
    <row r="20" spans="1:15" ht="33" customHeight="1">
      <c r="A20" s="9">
        <v>1</v>
      </c>
      <c r="B20" s="10" t="s">
        <v>74</v>
      </c>
      <c r="C20" s="9" t="s">
        <v>102</v>
      </c>
      <c r="D20" s="11" t="s">
        <v>103</v>
      </c>
      <c r="E20" s="9" t="s">
        <v>83</v>
      </c>
      <c r="F20" s="12">
        <v>3</v>
      </c>
      <c r="G20" s="6" t="s">
        <v>22</v>
      </c>
      <c r="H20" s="11" t="s">
        <v>104</v>
      </c>
      <c r="I20" s="13" t="s">
        <v>24</v>
      </c>
      <c r="J20" s="11" t="s">
        <v>105</v>
      </c>
      <c r="K20" s="13" t="s">
        <v>97</v>
      </c>
      <c r="L20" s="14">
        <v>46180</v>
      </c>
      <c r="M20" s="14">
        <v>46155</v>
      </c>
      <c r="N20" s="14">
        <v>46155</v>
      </c>
      <c r="O20" s="12">
        <v>4</v>
      </c>
    </row>
    <row r="21" spans="1:15" ht="33" customHeight="1">
      <c r="A21" s="9">
        <v>1</v>
      </c>
      <c r="B21" s="10" t="s">
        <v>74</v>
      </c>
      <c r="C21" s="9" t="s">
        <v>106</v>
      </c>
      <c r="D21" s="11" t="s">
        <v>107</v>
      </c>
      <c r="E21" s="9" t="s">
        <v>77</v>
      </c>
      <c r="F21" s="12">
        <v>4</v>
      </c>
      <c r="G21" s="6" t="s">
        <v>22</v>
      </c>
      <c r="H21" s="11" t="s">
        <v>108</v>
      </c>
      <c r="I21" s="13" t="s">
        <v>109</v>
      </c>
      <c r="J21" s="11" t="s">
        <v>110</v>
      </c>
      <c r="K21" s="13" t="s">
        <v>97</v>
      </c>
      <c r="L21" s="14">
        <v>46180</v>
      </c>
      <c r="M21" s="14">
        <v>46156</v>
      </c>
      <c r="N21" s="14">
        <v>46156</v>
      </c>
      <c r="O21" s="12">
        <v>5</v>
      </c>
    </row>
    <row r="22" spans="1:15" ht="33" customHeight="1">
      <c r="A22" s="15">
        <v>1</v>
      </c>
      <c r="B22" s="16" t="s">
        <v>111</v>
      </c>
      <c r="C22" s="15" t="s">
        <v>112</v>
      </c>
      <c r="D22" s="17" t="s">
        <v>113</v>
      </c>
      <c r="E22" s="15" t="s">
        <v>114</v>
      </c>
      <c r="F22" s="18">
        <v>3</v>
      </c>
      <c r="G22" s="6" t="s">
        <v>22</v>
      </c>
      <c r="H22" s="17" t="s">
        <v>115</v>
      </c>
      <c r="I22" s="19" t="s">
        <v>116</v>
      </c>
      <c r="J22" s="17" t="s">
        <v>117</v>
      </c>
      <c r="K22" s="19" t="s">
        <v>97</v>
      </c>
      <c r="L22" s="20">
        <v>46180</v>
      </c>
      <c r="M22" s="20">
        <v>46150</v>
      </c>
      <c r="N22" s="20">
        <v>46150</v>
      </c>
      <c r="O22" s="18">
        <v>4</v>
      </c>
    </row>
    <row r="23" spans="1:15" ht="33" customHeight="1">
      <c r="A23" s="15">
        <v>1</v>
      </c>
      <c r="B23" s="16" t="s">
        <v>111</v>
      </c>
      <c r="C23" s="15" t="s">
        <v>118</v>
      </c>
      <c r="D23" s="17" t="s">
        <v>119</v>
      </c>
      <c r="E23" s="15" t="s">
        <v>114</v>
      </c>
      <c r="F23" s="18">
        <v>4</v>
      </c>
      <c r="G23" s="6" t="s">
        <v>22</v>
      </c>
      <c r="H23" s="17" t="s">
        <v>120</v>
      </c>
      <c r="I23" s="19" t="s">
        <v>121</v>
      </c>
      <c r="J23" s="17" t="s">
        <v>122</v>
      </c>
      <c r="K23" s="19" t="s">
        <v>97</v>
      </c>
      <c r="L23" s="20">
        <v>46180</v>
      </c>
      <c r="M23" s="20">
        <v>46152</v>
      </c>
      <c r="N23" s="20">
        <v>46153</v>
      </c>
      <c r="O23" s="18">
        <v>5</v>
      </c>
    </row>
    <row r="24" spans="1:15" ht="33" customHeight="1">
      <c r="A24" s="15">
        <v>1</v>
      </c>
      <c r="B24" s="16" t="s">
        <v>111</v>
      </c>
      <c r="C24" s="15" t="s">
        <v>123</v>
      </c>
      <c r="D24" s="17" t="s">
        <v>124</v>
      </c>
      <c r="E24" s="15" t="s">
        <v>114</v>
      </c>
      <c r="F24" s="18">
        <v>2</v>
      </c>
      <c r="G24" s="6" t="s">
        <v>22</v>
      </c>
      <c r="H24" s="17" t="s">
        <v>125</v>
      </c>
      <c r="I24" s="19" t="s">
        <v>126</v>
      </c>
      <c r="J24" s="17" t="s">
        <v>127</v>
      </c>
      <c r="K24" s="19" t="s">
        <v>97</v>
      </c>
      <c r="L24" s="20">
        <v>46180</v>
      </c>
      <c r="M24" s="20">
        <v>46154</v>
      </c>
      <c r="N24" s="20">
        <v>46154</v>
      </c>
      <c r="O24" s="18">
        <v>2.5</v>
      </c>
    </row>
    <row r="25" spans="1:15" ht="33" customHeight="1">
      <c r="A25" s="15">
        <v>1</v>
      </c>
      <c r="B25" s="16" t="s">
        <v>111</v>
      </c>
      <c r="C25" s="15" t="s">
        <v>128</v>
      </c>
      <c r="D25" s="17" t="s">
        <v>129</v>
      </c>
      <c r="E25" s="15" t="s">
        <v>114</v>
      </c>
      <c r="F25" s="18">
        <v>3</v>
      </c>
      <c r="G25" s="6" t="s">
        <v>22</v>
      </c>
      <c r="H25" s="17" t="s">
        <v>130</v>
      </c>
      <c r="I25" s="19" t="s">
        <v>131</v>
      </c>
      <c r="J25" s="17" t="s">
        <v>132</v>
      </c>
      <c r="K25" s="19" t="s">
        <v>97</v>
      </c>
      <c r="L25" s="20">
        <v>46187</v>
      </c>
      <c r="M25" s="20">
        <v>46156</v>
      </c>
      <c r="N25" s="20">
        <v>46156</v>
      </c>
      <c r="O25" s="18">
        <v>4</v>
      </c>
    </row>
    <row r="26" spans="1:15" ht="33" customHeight="1">
      <c r="A26" s="15">
        <v>1</v>
      </c>
      <c r="B26" s="16" t="s">
        <v>111</v>
      </c>
      <c r="C26" s="15" t="s">
        <v>133</v>
      </c>
      <c r="D26" s="17" t="s">
        <v>134</v>
      </c>
      <c r="E26" s="15" t="s">
        <v>114</v>
      </c>
      <c r="F26" s="18">
        <v>4</v>
      </c>
      <c r="G26" s="6" t="s">
        <v>22</v>
      </c>
      <c r="H26" s="17" t="s">
        <v>135</v>
      </c>
      <c r="I26" s="19" t="s">
        <v>136</v>
      </c>
      <c r="J26" s="17" t="s">
        <v>137</v>
      </c>
      <c r="K26" s="19" t="s">
        <v>97</v>
      </c>
      <c r="L26" s="20">
        <v>46187</v>
      </c>
      <c r="M26" s="20">
        <v>46157</v>
      </c>
      <c r="N26" s="20">
        <v>46158</v>
      </c>
      <c r="O26" s="18">
        <v>5</v>
      </c>
    </row>
    <row r="27" spans="1:15" ht="33" customHeight="1">
      <c r="A27" s="15">
        <v>1</v>
      </c>
      <c r="B27" s="16" t="s">
        <v>111</v>
      </c>
      <c r="C27" s="15" t="s">
        <v>138</v>
      </c>
      <c r="D27" s="17" t="s">
        <v>139</v>
      </c>
      <c r="E27" s="15" t="s">
        <v>114</v>
      </c>
      <c r="F27" s="18">
        <v>4</v>
      </c>
      <c r="G27" s="6" t="s">
        <v>22</v>
      </c>
      <c r="H27" s="17" t="s">
        <v>140</v>
      </c>
      <c r="I27" s="19" t="s">
        <v>141</v>
      </c>
      <c r="J27" s="17" t="s">
        <v>142</v>
      </c>
      <c r="K27" s="19" t="s">
        <v>97</v>
      </c>
      <c r="L27" s="20">
        <v>46187</v>
      </c>
      <c r="M27" s="20">
        <v>46159</v>
      </c>
      <c r="N27" s="20">
        <v>46160</v>
      </c>
      <c r="O27" s="18">
        <v>5</v>
      </c>
    </row>
    <row r="28" spans="1:15" ht="22.5" customHeight="1">
      <c r="A28" s="15">
        <v>1</v>
      </c>
      <c r="B28" s="16" t="s">
        <v>111</v>
      </c>
      <c r="C28" s="15" t="s">
        <v>143</v>
      </c>
      <c r="D28" s="17" t="s">
        <v>144</v>
      </c>
      <c r="E28" s="15" t="s">
        <v>114</v>
      </c>
      <c r="F28" s="18">
        <v>2</v>
      </c>
      <c r="G28" s="6" t="s">
        <v>22</v>
      </c>
      <c r="H28" s="17" t="s">
        <v>145</v>
      </c>
      <c r="I28" s="19" t="s">
        <v>146</v>
      </c>
      <c r="J28" s="17" t="s">
        <v>147</v>
      </c>
      <c r="K28" s="19" t="s">
        <v>97</v>
      </c>
      <c r="L28" s="20">
        <v>46187</v>
      </c>
      <c r="M28" s="20">
        <v>46161</v>
      </c>
      <c r="N28" s="20">
        <v>46161</v>
      </c>
      <c r="O28" s="18">
        <v>2.5</v>
      </c>
    </row>
    <row r="29" spans="1:15" ht="33" customHeight="1">
      <c r="A29" s="15">
        <v>1</v>
      </c>
      <c r="B29" s="16" t="s">
        <v>111</v>
      </c>
      <c r="C29" s="15" t="s">
        <v>148</v>
      </c>
      <c r="D29" s="17" t="s">
        <v>149</v>
      </c>
      <c r="E29" s="15" t="s">
        <v>114</v>
      </c>
      <c r="F29" s="18">
        <v>3</v>
      </c>
      <c r="G29" s="6" t="s">
        <v>22</v>
      </c>
      <c r="H29" s="17" t="s">
        <v>150</v>
      </c>
      <c r="I29" s="19" t="s">
        <v>151</v>
      </c>
      <c r="J29" s="17" t="s">
        <v>152</v>
      </c>
      <c r="K29" s="19" t="s">
        <v>97</v>
      </c>
      <c r="L29" s="20">
        <v>46187</v>
      </c>
      <c r="M29" s="20">
        <v>46163</v>
      </c>
      <c r="N29" s="20">
        <v>46163</v>
      </c>
      <c r="O29" s="18">
        <v>4</v>
      </c>
    </row>
    <row r="30" spans="1:15" ht="33" customHeight="1">
      <c r="A30" s="21">
        <v>1</v>
      </c>
      <c r="B30" s="22" t="s">
        <v>153</v>
      </c>
      <c r="C30" s="21" t="s">
        <v>154</v>
      </c>
      <c r="D30" s="23" t="s">
        <v>155</v>
      </c>
      <c r="E30" s="21" t="s">
        <v>114</v>
      </c>
      <c r="F30" s="24">
        <v>3</v>
      </c>
      <c r="G30" s="6" t="s">
        <v>22</v>
      </c>
      <c r="H30" s="23" t="s">
        <v>156</v>
      </c>
      <c r="I30" s="25" t="s">
        <v>91</v>
      </c>
      <c r="J30" s="23" t="s">
        <v>157</v>
      </c>
      <c r="K30" s="25" t="s">
        <v>158</v>
      </c>
      <c r="L30" s="26">
        <v>46180</v>
      </c>
      <c r="M30" s="26">
        <v>46156</v>
      </c>
      <c r="N30" s="26">
        <v>46156</v>
      </c>
      <c r="O30" s="24">
        <v>4</v>
      </c>
    </row>
    <row r="31" spans="1:15" ht="33" customHeight="1">
      <c r="A31" s="21">
        <v>1</v>
      </c>
      <c r="B31" s="22" t="s">
        <v>153</v>
      </c>
      <c r="C31" s="21" t="s">
        <v>159</v>
      </c>
      <c r="D31" s="23" t="s">
        <v>160</v>
      </c>
      <c r="E31" s="21" t="s">
        <v>114</v>
      </c>
      <c r="F31" s="24">
        <v>3</v>
      </c>
      <c r="G31" s="6" t="s">
        <v>22</v>
      </c>
      <c r="H31" s="23" t="s">
        <v>161</v>
      </c>
      <c r="I31" s="25" t="s">
        <v>151</v>
      </c>
      <c r="J31" s="23" t="s">
        <v>162</v>
      </c>
      <c r="K31" s="25" t="s">
        <v>158</v>
      </c>
      <c r="L31" s="26">
        <v>46180</v>
      </c>
      <c r="M31" s="26">
        <v>46158</v>
      </c>
      <c r="N31" s="26">
        <v>46158</v>
      </c>
      <c r="O31" s="24">
        <v>4</v>
      </c>
    </row>
    <row r="32" spans="1:15" ht="33" customHeight="1">
      <c r="A32" s="21">
        <v>1</v>
      </c>
      <c r="B32" s="22" t="s">
        <v>153</v>
      </c>
      <c r="C32" s="21" t="s">
        <v>163</v>
      </c>
      <c r="D32" s="23" t="s">
        <v>164</v>
      </c>
      <c r="E32" s="21" t="s">
        <v>114</v>
      </c>
      <c r="F32" s="24">
        <v>3</v>
      </c>
      <c r="G32" s="6" t="s">
        <v>22</v>
      </c>
      <c r="H32" s="23" t="s">
        <v>165</v>
      </c>
      <c r="I32" s="25" t="s">
        <v>166</v>
      </c>
      <c r="J32" s="23" t="s">
        <v>167</v>
      </c>
      <c r="K32" s="25" t="s">
        <v>158</v>
      </c>
      <c r="L32" s="26">
        <v>46187</v>
      </c>
      <c r="M32" s="26">
        <v>46159</v>
      </c>
      <c r="N32" s="26">
        <v>46159</v>
      </c>
      <c r="O32" s="24">
        <v>4</v>
      </c>
    </row>
    <row r="33" spans="1:15" ht="33" customHeight="1">
      <c r="A33" s="21">
        <v>1</v>
      </c>
      <c r="B33" s="22" t="s">
        <v>153</v>
      </c>
      <c r="C33" s="21" t="s">
        <v>168</v>
      </c>
      <c r="D33" s="23" t="s">
        <v>169</v>
      </c>
      <c r="E33" s="21" t="s">
        <v>114</v>
      </c>
      <c r="F33" s="24">
        <v>3</v>
      </c>
      <c r="G33" s="6" t="s">
        <v>22</v>
      </c>
      <c r="H33" s="23" t="s">
        <v>170</v>
      </c>
      <c r="I33" s="25" t="s">
        <v>171</v>
      </c>
      <c r="J33" s="23" t="s">
        <v>167</v>
      </c>
      <c r="K33" s="25" t="s">
        <v>158</v>
      </c>
      <c r="L33" s="26">
        <v>46187</v>
      </c>
      <c r="M33" s="26">
        <v>46161</v>
      </c>
      <c r="N33" s="26">
        <v>46161</v>
      </c>
      <c r="O33" s="24">
        <v>4</v>
      </c>
    </row>
    <row r="34" spans="1:15" ht="33" customHeight="1">
      <c r="A34" s="21">
        <v>1</v>
      </c>
      <c r="B34" s="22" t="s">
        <v>153</v>
      </c>
      <c r="C34" s="21" t="s">
        <v>172</v>
      </c>
      <c r="D34" s="23" t="s">
        <v>173</v>
      </c>
      <c r="E34" s="21" t="s">
        <v>114</v>
      </c>
      <c r="F34" s="24">
        <v>3</v>
      </c>
      <c r="G34" s="27" t="s">
        <v>22</v>
      </c>
      <c r="H34" s="23" t="s">
        <v>174</v>
      </c>
      <c r="I34" s="25" t="s">
        <v>151</v>
      </c>
      <c r="J34" s="23" t="s">
        <v>175</v>
      </c>
      <c r="K34" s="25" t="s">
        <v>158</v>
      </c>
      <c r="L34" s="26">
        <v>46187</v>
      </c>
      <c r="M34" s="26">
        <v>46163</v>
      </c>
      <c r="N34" s="26">
        <v>46163</v>
      </c>
      <c r="O34" s="24">
        <v>4</v>
      </c>
    </row>
    <row r="35" spans="1:15" ht="33" customHeight="1">
      <c r="A35" s="21">
        <v>1</v>
      </c>
      <c r="B35" s="22" t="s">
        <v>153</v>
      </c>
      <c r="C35" s="21" t="s">
        <v>176</v>
      </c>
      <c r="D35" s="23" t="s">
        <v>177</v>
      </c>
      <c r="E35" s="21" t="s">
        <v>114</v>
      </c>
      <c r="F35" s="24">
        <v>4</v>
      </c>
      <c r="G35" s="27" t="s">
        <v>22</v>
      </c>
      <c r="H35" s="23" t="s">
        <v>178</v>
      </c>
      <c r="I35" s="25" t="s">
        <v>179</v>
      </c>
      <c r="J35" s="23" t="s">
        <v>167</v>
      </c>
      <c r="K35" s="25" t="s">
        <v>158</v>
      </c>
      <c r="L35" s="26">
        <v>46187</v>
      </c>
      <c r="M35" s="26">
        <v>46165</v>
      </c>
      <c r="N35" s="26">
        <v>46166</v>
      </c>
      <c r="O35" s="24">
        <v>5</v>
      </c>
    </row>
    <row r="36" spans="1:15" ht="33" customHeight="1">
      <c r="A36" s="21">
        <v>1</v>
      </c>
      <c r="B36" s="22" t="s">
        <v>153</v>
      </c>
      <c r="C36" s="21" t="s">
        <v>180</v>
      </c>
      <c r="D36" s="23" t="s">
        <v>181</v>
      </c>
      <c r="E36" s="21" t="s">
        <v>114</v>
      </c>
      <c r="F36" s="24">
        <v>2</v>
      </c>
      <c r="G36" s="27" t="s">
        <v>22</v>
      </c>
      <c r="H36" s="23" t="s">
        <v>182</v>
      </c>
      <c r="I36" s="25" t="s">
        <v>146</v>
      </c>
      <c r="J36" s="23" t="s">
        <v>167</v>
      </c>
      <c r="K36" s="25" t="s">
        <v>158</v>
      </c>
      <c r="L36" s="26">
        <v>46187</v>
      </c>
      <c r="M36" s="26">
        <v>46166</v>
      </c>
      <c r="N36" s="26">
        <v>46166</v>
      </c>
      <c r="O36" s="24">
        <v>2.5</v>
      </c>
    </row>
    <row r="37" spans="1:15" ht="33" customHeight="1">
      <c r="A37" s="21">
        <v>1</v>
      </c>
      <c r="B37" s="22" t="s">
        <v>153</v>
      </c>
      <c r="C37" s="21" t="s">
        <v>183</v>
      </c>
      <c r="D37" s="23" t="s">
        <v>184</v>
      </c>
      <c r="E37" s="21" t="s">
        <v>114</v>
      </c>
      <c r="F37" s="24">
        <v>3</v>
      </c>
      <c r="G37" s="27" t="s">
        <v>22</v>
      </c>
      <c r="H37" s="23" t="s">
        <v>185</v>
      </c>
      <c r="I37" s="25" t="s">
        <v>186</v>
      </c>
      <c r="J37" s="23" t="s">
        <v>167</v>
      </c>
      <c r="K37" s="25" t="s">
        <v>158</v>
      </c>
      <c r="L37" s="26">
        <v>46187</v>
      </c>
      <c r="M37" s="26">
        <v>46168</v>
      </c>
      <c r="N37" s="26">
        <v>46168</v>
      </c>
      <c r="O37" s="24">
        <v>3</v>
      </c>
    </row>
    <row r="38" spans="1:15" ht="33" customHeight="1">
      <c r="A38" s="28">
        <v>1</v>
      </c>
      <c r="B38" s="29" t="s">
        <v>187</v>
      </c>
      <c r="C38" s="28" t="s">
        <v>188</v>
      </c>
      <c r="D38" s="30" t="s">
        <v>189</v>
      </c>
      <c r="E38" s="28" t="s">
        <v>114</v>
      </c>
      <c r="F38" s="31">
        <v>2</v>
      </c>
      <c r="G38" s="27" t="s">
        <v>22</v>
      </c>
      <c r="H38" s="30" t="s">
        <v>190</v>
      </c>
      <c r="I38" s="32" t="s">
        <v>91</v>
      </c>
      <c r="J38" s="30" t="s">
        <v>191</v>
      </c>
      <c r="K38" s="32" t="s">
        <v>97</v>
      </c>
      <c r="L38" s="33">
        <v>46180</v>
      </c>
      <c r="M38" s="33">
        <v>46161</v>
      </c>
      <c r="N38" s="33">
        <v>46161</v>
      </c>
      <c r="O38" s="31">
        <v>2.5</v>
      </c>
    </row>
    <row r="39" spans="1:15" ht="33" customHeight="1">
      <c r="A39" s="28">
        <v>1</v>
      </c>
      <c r="B39" s="29" t="s">
        <v>187</v>
      </c>
      <c r="C39" s="28" t="s">
        <v>192</v>
      </c>
      <c r="D39" s="30" t="s">
        <v>193</v>
      </c>
      <c r="E39" s="28" t="s">
        <v>114</v>
      </c>
      <c r="F39" s="31">
        <v>2</v>
      </c>
      <c r="G39" s="27" t="s">
        <v>22</v>
      </c>
      <c r="H39" s="30" t="s">
        <v>194</v>
      </c>
      <c r="I39" s="32" t="s">
        <v>151</v>
      </c>
      <c r="J39" s="30" t="s">
        <v>195</v>
      </c>
      <c r="K39" s="32" t="s">
        <v>97</v>
      </c>
      <c r="L39" s="33">
        <v>46180</v>
      </c>
      <c r="M39" s="33">
        <v>46163</v>
      </c>
      <c r="N39" s="33">
        <v>46163</v>
      </c>
      <c r="O39" s="31">
        <v>2.5</v>
      </c>
    </row>
    <row r="40" spans="1:15" ht="33" customHeight="1">
      <c r="A40" s="28">
        <v>1</v>
      </c>
      <c r="B40" s="29" t="s">
        <v>187</v>
      </c>
      <c r="C40" s="28" t="s">
        <v>196</v>
      </c>
      <c r="D40" s="30" t="s">
        <v>197</v>
      </c>
      <c r="E40" s="28" t="s">
        <v>114</v>
      </c>
      <c r="F40" s="31">
        <v>3</v>
      </c>
      <c r="G40" s="27" t="s">
        <v>22</v>
      </c>
      <c r="H40" s="30" t="s">
        <v>198</v>
      </c>
      <c r="I40" s="32" t="s">
        <v>199</v>
      </c>
      <c r="J40" s="30" t="s">
        <v>200</v>
      </c>
      <c r="K40" s="32" t="s">
        <v>97</v>
      </c>
      <c r="L40" s="33">
        <v>46187</v>
      </c>
      <c r="M40" s="33">
        <v>46164</v>
      </c>
      <c r="N40" s="33">
        <v>46164</v>
      </c>
      <c r="O40" s="31">
        <v>4</v>
      </c>
    </row>
    <row r="41" spans="1:15" ht="33" customHeight="1">
      <c r="A41" s="28">
        <v>1</v>
      </c>
      <c r="B41" s="29" t="s">
        <v>187</v>
      </c>
      <c r="C41" s="28" t="s">
        <v>201</v>
      </c>
      <c r="D41" s="30" t="s">
        <v>202</v>
      </c>
      <c r="E41" s="28" t="s">
        <v>114</v>
      </c>
      <c r="F41" s="31">
        <v>2</v>
      </c>
      <c r="G41" s="27" t="s">
        <v>22</v>
      </c>
      <c r="H41" s="30" t="s">
        <v>203</v>
      </c>
      <c r="I41" s="32" t="s">
        <v>204</v>
      </c>
      <c r="J41" s="30" t="s">
        <v>205</v>
      </c>
      <c r="K41" s="32" t="s">
        <v>97</v>
      </c>
      <c r="L41" s="33">
        <v>46187</v>
      </c>
      <c r="M41" s="33">
        <v>46165</v>
      </c>
      <c r="N41" s="33">
        <v>46165</v>
      </c>
      <c r="O41" s="31">
        <v>2.5</v>
      </c>
    </row>
    <row r="42" spans="1:15" ht="22.5" customHeight="1">
      <c r="A42" s="28">
        <v>1</v>
      </c>
      <c r="B42" s="29" t="s">
        <v>187</v>
      </c>
      <c r="C42" s="28" t="s">
        <v>206</v>
      </c>
      <c r="D42" s="30" t="s">
        <v>207</v>
      </c>
      <c r="E42" s="28" t="s">
        <v>114</v>
      </c>
      <c r="F42" s="31">
        <v>2</v>
      </c>
      <c r="G42" s="27" t="s">
        <v>22</v>
      </c>
      <c r="H42" s="30" t="s">
        <v>208</v>
      </c>
      <c r="I42" s="32" t="s">
        <v>151</v>
      </c>
      <c r="J42" s="30" t="s">
        <v>209</v>
      </c>
      <c r="K42" s="32" t="s">
        <v>97</v>
      </c>
      <c r="L42" s="33">
        <v>46187</v>
      </c>
      <c r="M42" s="33">
        <v>46167</v>
      </c>
      <c r="N42" s="33">
        <v>46167</v>
      </c>
      <c r="O42" s="31">
        <v>2.5</v>
      </c>
    </row>
    <row r="43" spans="1:15" ht="33" customHeight="1">
      <c r="A43" s="28">
        <v>1</v>
      </c>
      <c r="B43" s="29" t="s">
        <v>187</v>
      </c>
      <c r="C43" s="28" t="s">
        <v>210</v>
      </c>
      <c r="D43" s="30" t="s">
        <v>211</v>
      </c>
      <c r="E43" s="28" t="s">
        <v>114</v>
      </c>
      <c r="F43" s="31">
        <v>3</v>
      </c>
      <c r="G43" s="27" t="s">
        <v>22</v>
      </c>
      <c r="H43" s="30" t="s">
        <v>212</v>
      </c>
      <c r="I43" s="32" t="s">
        <v>213</v>
      </c>
      <c r="J43" s="30" t="s">
        <v>214</v>
      </c>
      <c r="K43" s="32" t="s">
        <v>97</v>
      </c>
      <c r="L43" s="33">
        <v>46187</v>
      </c>
      <c r="M43" s="33">
        <v>46169</v>
      </c>
      <c r="N43" s="33">
        <v>46169</v>
      </c>
      <c r="O43" s="31">
        <v>4</v>
      </c>
    </row>
    <row r="44" spans="1:15" ht="22.5" customHeight="1">
      <c r="A44" s="28">
        <v>1</v>
      </c>
      <c r="B44" s="29" t="s">
        <v>187</v>
      </c>
      <c r="C44" s="28" t="s">
        <v>215</v>
      </c>
      <c r="D44" s="30" t="s">
        <v>216</v>
      </c>
      <c r="E44" s="28" t="s">
        <v>114</v>
      </c>
      <c r="F44" s="31">
        <v>2</v>
      </c>
      <c r="G44" s="27" t="s">
        <v>22</v>
      </c>
      <c r="H44" s="30" t="s">
        <v>217</v>
      </c>
      <c r="I44" s="32" t="s">
        <v>146</v>
      </c>
      <c r="J44" s="30" t="s">
        <v>218</v>
      </c>
      <c r="K44" s="32" t="s">
        <v>97</v>
      </c>
      <c r="L44" s="33">
        <v>46187</v>
      </c>
      <c r="M44" s="33">
        <v>46170</v>
      </c>
      <c r="N44" s="33">
        <v>46170</v>
      </c>
      <c r="O44" s="31">
        <v>2.5</v>
      </c>
    </row>
    <row r="45" spans="1:15" ht="33" customHeight="1">
      <c r="A45" s="34">
        <v>2</v>
      </c>
      <c r="B45" s="35" t="s">
        <v>219</v>
      </c>
      <c r="C45" s="34" t="s">
        <v>220</v>
      </c>
      <c r="D45" s="36" t="s">
        <v>221</v>
      </c>
      <c r="E45" s="34" t="s">
        <v>222</v>
      </c>
      <c r="F45" s="37">
        <v>3</v>
      </c>
      <c r="G45" s="27" t="s">
        <v>22</v>
      </c>
      <c r="H45" s="36" t="s">
        <v>223</v>
      </c>
      <c r="I45" s="38" t="s">
        <v>24</v>
      </c>
      <c r="J45" s="36" t="s">
        <v>224</v>
      </c>
      <c r="K45" s="38" t="s">
        <v>49</v>
      </c>
      <c r="L45" s="39">
        <v>46187</v>
      </c>
      <c r="M45" s="39">
        <v>46163</v>
      </c>
      <c r="N45" s="39">
        <v>46163</v>
      </c>
      <c r="O45" s="37">
        <v>4</v>
      </c>
    </row>
    <row r="46" spans="1:15" ht="33" customHeight="1">
      <c r="A46" s="34">
        <v>2</v>
      </c>
      <c r="B46" s="35" t="s">
        <v>219</v>
      </c>
      <c r="C46" s="34" t="s">
        <v>225</v>
      </c>
      <c r="D46" s="36" t="s">
        <v>226</v>
      </c>
      <c r="E46" s="34" t="s">
        <v>222</v>
      </c>
      <c r="F46" s="37">
        <v>2</v>
      </c>
      <c r="G46" s="27" t="s">
        <v>22</v>
      </c>
      <c r="H46" s="36" t="s">
        <v>227</v>
      </c>
      <c r="I46" s="38" t="s">
        <v>228</v>
      </c>
      <c r="J46" s="36" t="s">
        <v>229</v>
      </c>
      <c r="K46" s="38" t="s">
        <v>49</v>
      </c>
      <c r="L46" s="39">
        <v>46187</v>
      </c>
      <c r="M46" s="39">
        <v>46165</v>
      </c>
      <c r="N46" s="39">
        <v>46165</v>
      </c>
      <c r="O46" s="37">
        <v>2.5</v>
      </c>
    </row>
    <row r="47" spans="1:15" ht="22.5" customHeight="1">
      <c r="A47" s="34">
        <v>2</v>
      </c>
      <c r="B47" s="35" t="s">
        <v>219</v>
      </c>
      <c r="C47" s="34" t="s">
        <v>230</v>
      </c>
      <c r="D47" s="36" t="s">
        <v>231</v>
      </c>
      <c r="E47" s="34" t="s">
        <v>222</v>
      </c>
      <c r="F47" s="37">
        <v>2</v>
      </c>
      <c r="G47" s="27" t="s">
        <v>22</v>
      </c>
      <c r="H47" s="36" t="s">
        <v>232</v>
      </c>
      <c r="I47" s="38" t="s">
        <v>116</v>
      </c>
      <c r="J47" s="36" t="s">
        <v>233</v>
      </c>
      <c r="K47" s="38" t="s">
        <v>49</v>
      </c>
      <c r="L47" s="39">
        <v>46187</v>
      </c>
      <c r="M47" s="39">
        <v>46166</v>
      </c>
      <c r="N47" s="39">
        <v>46166</v>
      </c>
      <c r="O47" s="37">
        <v>2.5</v>
      </c>
    </row>
    <row r="48" spans="1:15" ht="22.5" customHeight="1">
      <c r="A48" s="34">
        <v>2</v>
      </c>
      <c r="B48" s="35" t="s">
        <v>219</v>
      </c>
      <c r="C48" s="34" t="s">
        <v>234</v>
      </c>
      <c r="D48" s="36" t="s">
        <v>235</v>
      </c>
      <c r="E48" s="34" t="s">
        <v>222</v>
      </c>
      <c r="F48" s="37">
        <v>2</v>
      </c>
      <c r="G48" s="27" t="s">
        <v>22</v>
      </c>
      <c r="H48" s="36" t="s">
        <v>232</v>
      </c>
      <c r="I48" s="38" t="s">
        <v>236</v>
      </c>
      <c r="J48" s="36" t="s">
        <v>237</v>
      </c>
      <c r="K48" s="38" t="s">
        <v>49</v>
      </c>
      <c r="L48" s="39">
        <v>46187</v>
      </c>
      <c r="M48" s="39">
        <v>46168</v>
      </c>
      <c r="N48" s="39">
        <v>46168</v>
      </c>
      <c r="O48" s="37">
        <v>2.5</v>
      </c>
    </row>
    <row r="49" spans="1:15" ht="33" customHeight="1">
      <c r="A49" s="34">
        <v>2</v>
      </c>
      <c r="B49" s="35" t="s">
        <v>219</v>
      </c>
      <c r="C49" s="34" t="s">
        <v>238</v>
      </c>
      <c r="D49" s="36" t="s">
        <v>239</v>
      </c>
      <c r="E49" s="34" t="s">
        <v>222</v>
      </c>
      <c r="F49" s="37">
        <v>2</v>
      </c>
      <c r="G49" s="27" t="s">
        <v>22</v>
      </c>
      <c r="H49" s="36" t="s">
        <v>240</v>
      </c>
      <c r="I49" s="38" t="s">
        <v>24</v>
      </c>
      <c r="J49" s="36" t="s">
        <v>241</v>
      </c>
      <c r="K49" s="38" t="s">
        <v>80</v>
      </c>
      <c r="L49" s="39">
        <v>46180</v>
      </c>
      <c r="M49" s="39">
        <v>46170</v>
      </c>
      <c r="N49" s="39">
        <v>46170</v>
      </c>
      <c r="O49" s="37">
        <v>2.5</v>
      </c>
    </row>
    <row r="50" spans="1:15" ht="33" customHeight="1">
      <c r="A50" s="34">
        <v>2</v>
      </c>
      <c r="B50" s="35" t="s">
        <v>219</v>
      </c>
      <c r="C50" s="34" t="s">
        <v>242</v>
      </c>
      <c r="D50" s="36" t="s">
        <v>243</v>
      </c>
      <c r="E50" s="34" t="s">
        <v>222</v>
      </c>
      <c r="F50" s="37">
        <v>2</v>
      </c>
      <c r="G50" s="27" t="s">
        <v>22</v>
      </c>
      <c r="H50" s="36" t="s">
        <v>244</v>
      </c>
      <c r="I50" s="38" t="s">
        <v>24</v>
      </c>
      <c r="J50" s="36" t="s">
        <v>241</v>
      </c>
      <c r="K50" s="38" t="s">
        <v>80</v>
      </c>
      <c r="L50" s="39">
        <v>46180</v>
      </c>
      <c r="M50" s="39">
        <v>46172</v>
      </c>
      <c r="N50" s="39">
        <v>46172</v>
      </c>
      <c r="O50" s="37">
        <v>2</v>
      </c>
    </row>
    <row r="51" spans="1:15" ht="22.5" customHeight="1">
      <c r="A51" s="34">
        <v>2</v>
      </c>
      <c r="B51" s="35" t="s">
        <v>219</v>
      </c>
      <c r="C51" s="34" t="s">
        <v>245</v>
      </c>
      <c r="D51" s="36" t="s">
        <v>246</v>
      </c>
      <c r="E51" s="34" t="s">
        <v>247</v>
      </c>
      <c r="F51" s="37">
        <v>2</v>
      </c>
      <c r="G51" s="27" t="s">
        <v>22</v>
      </c>
      <c r="H51" s="36" t="s">
        <v>248</v>
      </c>
      <c r="I51" s="38" t="s">
        <v>24</v>
      </c>
      <c r="J51" s="36" t="s">
        <v>249</v>
      </c>
      <c r="K51" s="38" t="s">
        <v>250</v>
      </c>
      <c r="L51" s="39">
        <v>46187</v>
      </c>
      <c r="M51" s="39">
        <v>46173</v>
      </c>
      <c r="N51" s="39">
        <v>46173</v>
      </c>
      <c r="O51" s="37">
        <v>2.5</v>
      </c>
    </row>
    <row r="52" spans="1:15" ht="33" customHeight="1">
      <c r="A52" s="34">
        <v>2</v>
      </c>
      <c r="B52" s="35" t="s">
        <v>219</v>
      </c>
      <c r="C52" s="34" t="s">
        <v>251</v>
      </c>
      <c r="D52" s="36" t="s">
        <v>252</v>
      </c>
      <c r="E52" s="34" t="s">
        <v>222</v>
      </c>
      <c r="F52" s="37">
        <v>2</v>
      </c>
      <c r="G52" s="27" t="s">
        <v>22</v>
      </c>
      <c r="H52" s="36" t="s">
        <v>253</v>
      </c>
      <c r="I52" s="38" t="s">
        <v>24</v>
      </c>
      <c r="J52" s="36" t="s">
        <v>254</v>
      </c>
      <c r="K52" s="38" t="s">
        <v>26</v>
      </c>
      <c r="L52" s="39">
        <v>46187</v>
      </c>
      <c r="M52" s="39">
        <v>46175</v>
      </c>
      <c r="N52" s="39">
        <v>46175</v>
      </c>
      <c r="O52" s="37">
        <v>2.5</v>
      </c>
    </row>
    <row r="53" spans="1:15" ht="33" customHeight="1">
      <c r="A53" s="40">
        <v>2</v>
      </c>
      <c r="B53" s="41" t="s">
        <v>255</v>
      </c>
      <c r="C53" s="40" t="s">
        <v>256</v>
      </c>
      <c r="D53" s="42" t="s">
        <v>257</v>
      </c>
      <c r="E53" s="40" t="s">
        <v>21</v>
      </c>
      <c r="F53" s="43">
        <v>3</v>
      </c>
      <c r="G53" s="27" t="s">
        <v>22</v>
      </c>
      <c r="H53" s="42" t="s">
        <v>258</v>
      </c>
      <c r="I53" s="44" t="s">
        <v>24</v>
      </c>
      <c r="J53" s="42" t="s">
        <v>259</v>
      </c>
      <c r="K53" s="44" t="s">
        <v>260</v>
      </c>
      <c r="L53" s="45">
        <v>46180</v>
      </c>
      <c r="M53" s="45">
        <v>46168</v>
      </c>
      <c r="N53" s="45">
        <v>46168</v>
      </c>
      <c r="O53" s="43">
        <v>4</v>
      </c>
    </row>
    <row r="54" spans="1:15" ht="33" customHeight="1">
      <c r="A54" s="40">
        <v>2</v>
      </c>
      <c r="B54" s="41" t="s">
        <v>255</v>
      </c>
      <c r="C54" s="40" t="s">
        <v>261</v>
      </c>
      <c r="D54" s="42" t="s">
        <v>262</v>
      </c>
      <c r="E54" s="40" t="s">
        <v>29</v>
      </c>
      <c r="F54" s="43">
        <v>3</v>
      </c>
      <c r="G54" s="27" t="s">
        <v>22</v>
      </c>
      <c r="H54" s="42" t="s">
        <v>263</v>
      </c>
      <c r="I54" s="44" t="s">
        <v>24</v>
      </c>
      <c r="J54" s="42" t="s">
        <v>264</v>
      </c>
      <c r="K54" s="44" t="s">
        <v>260</v>
      </c>
      <c r="L54" s="45">
        <v>46180</v>
      </c>
      <c r="M54" s="45">
        <v>46170</v>
      </c>
      <c r="N54" s="45">
        <v>46170</v>
      </c>
      <c r="O54" s="43">
        <v>4</v>
      </c>
    </row>
    <row r="55" spans="1:15" ht="33" customHeight="1">
      <c r="A55" s="40">
        <v>2</v>
      </c>
      <c r="B55" s="41" t="s">
        <v>255</v>
      </c>
      <c r="C55" s="40" t="s">
        <v>265</v>
      </c>
      <c r="D55" s="42" t="s">
        <v>266</v>
      </c>
      <c r="E55" s="40" t="s">
        <v>21</v>
      </c>
      <c r="F55" s="43">
        <v>3</v>
      </c>
      <c r="G55" s="27" t="s">
        <v>22</v>
      </c>
      <c r="H55" s="42" t="s">
        <v>267</v>
      </c>
      <c r="I55" s="44" t="s">
        <v>24</v>
      </c>
      <c r="J55" s="42" t="s">
        <v>268</v>
      </c>
      <c r="K55" s="44" t="s">
        <v>26</v>
      </c>
      <c r="L55" s="45">
        <v>46187</v>
      </c>
      <c r="M55" s="45">
        <v>46172</v>
      </c>
      <c r="N55" s="45">
        <v>46172</v>
      </c>
      <c r="O55" s="43">
        <v>4</v>
      </c>
    </row>
    <row r="56" spans="1:15" ht="33" customHeight="1">
      <c r="A56" s="40">
        <v>2</v>
      </c>
      <c r="B56" s="41" t="s">
        <v>255</v>
      </c>
      <c r="C56" s="40" t="s">
        <v>269</v>
      </c>
      <c r="D56" s="42" t="s">
        <v>270</v>
      </c>
      <c r="E56" s="40" t="s">
        <v>21</v>
      </c>
      <c r="F56" s="43">
        <v>2</v>
      </c>
      <c r="G56" s="27" t="s">
        <v>22</v>
      </c>
      <c r="H56" s="42" t="s">
        <v>271</v>
      </c>
      <c r="I56" s="44" t="s">
        <v>24</v>
      </c>
      <c r="J56" s="42" t="s">
        <v>272</v>
      </c>
      <c r="K56" s="44" t="s">
        <v>26</v>
      </c>
      <c r="L56" s="45">
        <v>46187</v>
      </c>
      <c r="M56" s="45">
        <v>46174</v>
      </c>
      <c r="N56" s="45">
        <v>46174</v>
      </c>
      <c r="O56" s="43">
        <v>2.5</v>
      </c>
    </row>
    <row r="57" spans="1:15" ht="22.5" customHeight="1">
      <c r="A57" s="40">
        <v>2</v>
      </c>
      <c r="B57" s="41" t="s">
        <v>255</v>
      </c>
      <c r="C57" s="40" t="s">
        <v>273</v>
      </c>
      <c r="D57" s="42" t="s">
        <v>274</v>
      </c>
      <c r="E57" s="40" t="s">
        <v>29</v>
      </c>
      <c r="F57" s="43">
        <v>1</v>
      </c>
      <c r="G57" s="27" t="s">
        <v>22</v>
      </c>
      <c r="H57" s="42" t="s">
        <v>275</v>
      </c>
      <c r="I57" s="44" t="s">
        <v>24</v>
      </c>
      <c r="J57" s="42" t="s">
        <v>276</v>
      </c>
      <c r="K57" s="44" t="s">
        <v>26</v>
      </c>
      <c r="L57" s="45">
        <v>46187</v>
      </c>
      <c r="M57" s="45">
        <v>46176</v>
      </c>
      <c r="N57" s="45">
        <v>46176</v>
      </c>
      <c r="O57" s="43">
        <v>1.5</v>
      </c>
    </row>
    <row r="58" spans="1:15" ht="33" customHeight="1">
      <c r="A58" s="46">
        <v>2</v>
      </c>
      <c r="B58" s="47" t="s">
        <v>277</v>
      </c>
      <c r="C58" s="46" t="s">
        <v>278</v>
      </c>
      <c r="D58" s="48" t="s">
        <v>279</v>
      </c>
      <c r="E58" s="46" t="s">
        <v>29</v>
      </c>
      <c r="F58" s="49">
        <v>3</v>
      </c>
      <c r="G58" s="27" t="s">
        <v>22</v>
      </c>
      <c r="H58" s="48" t="s">
        <v>280</v>
      </c>
      <c r="I58" s="50" t="s">
        <v>199</v>
      </c>
      <c r="J58" s="48" t="s">
        <v>281</v>
      </c>
      <c r="K58" s="50" t="s">
        <v>282</v>
      </c>
      <c r="L58" s="51">
        <v>46180</v>
      </c>
      <c r="M58" s="51">
        <v>46170</v>
      </c>
      <c r="N58" s="51">
        <v>46170</v>
      </c>
      <c r="O58" s="49">
        <v>4</v>
      </c>
    </row>
    <row r="59" spans="1:15" ht="22.5" customHeight="1">
      <c r="A59" s="46">
        <v>2</v>
      </c>
      <c r="B59" s="47" t="s">
        <v>277</v>
      </c>
      <c r="C59" s="46" t="s">
        <v>283</v>
      </c>
      <c r="D59" s="48" t="s">
        <v>284</v>
      </c>
      <c r="E59" s="46" t="s">
        <v>29</v>
      </c>
      <c r="F59" s="49">
        <v>2</v>
      </c>
      <c r="G59" s="27" t="s">
        <v>22</v>
      </c>
      <c r="H59" s="48" t="s">
        <v>285</v>
      </c>
      <c r="I59" s="50" t="s">
        <v>116</v>
      </c>
      <c r="J59" s="48" t="s">
        <v>281</v>
      </c>
      <c r="K59" s="50" t="s">
        <v>282</v>
      </c>
      <c r="L59" s="51">
        <v>46180</v>
      </c>
      <c r="M59" s="51">
        <v>46171</v>
      </c>
      <c r="N59" s="51">
        <v>46171</v>
      </c>
      <c r="O59" s="49">
        <v>2.5</v>
      </c>
    </row>
    <row r="60" spans="1:15" ht="33" customHeight="1">
      <c r="A60" s="46">
        <v>2</v>
      </c>
      <c r="B60" s="47" t="s">
        <v>277</v>
      </c>
      <c r="C60" s="46" t="s">
        <v>286</v>
      </c>
      <c r="D60" s="48" t="s">
        <v>287</v>
      </c>
      <c r="E60" s="46" t="s">
        <v>29</v>
      </c>
      <c r="F60" s="49">
        <v>3</v>
      </c>
      <c r="G60" s="27" t="s">
        <v>22</v>
      </c>
      <c r="H60" s="48" t="s">
        <v>288</v>
      </c>
      <c r="I60" s="50" t="s">
        <v>289</v>
      </c>
      <c r="J60" s="48" t="s">
        <v>281</v>
      </c>
      <c r="K60" s="50" t="s">
        <v>282</v>
      </c>
      <c r="L60" s="51">
        <v>46180</v>
      </c>
      <c r="M60" s="51">
        <v>46172</v>
      </c>
      <c r="N60" s="51">
        <v>46172</v>
      </c>
      <c r="O60" s="49">
        <v>3.5</v>
      </c>
    </row>
    <row r="61" spans="1:15" ht="33" customHeight="1">
      <c r="A61" s="46">
        <v>2</v>
      </c>
      <c r="B61" s="47" t="s">
        <v>277</v>
      </c>
      <c r="C61" s="46" t="s">
        <v>290</v>
      </c>
      <c r="D61" s="48" t="s">
        <v>291</v>
      </c>
      <c r="E61" s="46" t="s">
        <v>29</v>
      </c>
      <c r="F61" s="49">
        <v>2</v>
      </c>
      <c r="G61" s="27" t="s">
        <v>22</v>
      </c>
      <c r="H61" s="48" t="s">
        <v>292</v>
      </c>
      <c r="I61" s="50" t="s">
        <v>199</v>
      </c>
      <c r="J61" s="48" t="s">
        <v>293</v>
      </c>
      <c r="K61" s="50" t="s">
        <v>97</v>
      </c>
      <c r="L61" s="51">
        <v>46187</v>
      </c>
      <c r="M61" s="51">
        <v>46174</v>
      </c>
      <c r="N61" s="51">
        <v>46174</v>
      </c>
      <c r="O61" s="49">
        <v>2.5</v>
      </c>
    </row>
    <row r="62" spans="1:15">
      <c r="A62" s="46">
        <v>2</v>
      </c>
      <c r="B62" s="47" t="s">
        <v>277</v>
      </c>
      <c r="C62" s="46" t="s">
        <v>294</v>
      </c>
      <c r="D62" s="48" t="s">
        <v>295</v>
      </c>
      <c r="E62" s="46" t="s">
        <v>29</v>
      </c>
      <c r="F62" s="49">
        <v>2</v>
      </c>
      <c r="G62" s="27" t="s">
        <v>22</v>
      </c>
      <c r="H62" s="48" t="s">
        <v>296</v>
      </c>
      <c r="I62" s="50" t="s">
        <v>116</v>
      </c>
      <c r="J62" s="48" t="s">
        <v>297</v>
      </c>
      <c r="K62" s="50" t="s">
        <v>97</v>
      </c>
      <c r="L62" s="51">
        <v>46187</v>
      </c>
      <c r="M62" s="51">
        <v>46175</v>
      </c>
      <c r="N62" s="51">
        <v>46175</v>
      </c>
      <c r="O62" s="49">
        <v>2.5</v>
      </c>
    </row>
    <row r="63" spans="1:15" ht="22.5" customHeight="1">
      <c r="A63" s="46">
        <v>2</v>
      </c>
      <c r="B63" s="47" t="s">
        <v>277</v>
      </c>
      <c r="C63" s="46" t="s">
        <v>298</v>
      </c>
      <c r="D63" s="48" t="s">
        <v>299</v>
      </c>
      <c r="E63" s="46" t="s">
        <v>29</v>
      </c>
      <c r="F63" s="49">
        <v>2</v>
      </c>
      <c r="G63" s="6" t="s">
        <v>22</v>
      </c>
      <c r="H63" s="48" t="s">
        <v>300</v>
      </c>
      <c r="I63" s="50" t="s">
        <v>236</v>
      </c>
      <c r="J63" s="48" t="s">
        <v>301</v>
      </c>
      <c r="K63" s="50" t="s">
        <v>97</v>
      </c>
      <c r="L63" s="51">
        <v>46187</v>
      </c>
      <c r="M63" s="51">
        <v>46176</v>
      </c>
      <c r="N63" s="51">
        <v>46176</v>
      </c>
      <c r="O63" s="49">
        <v>2.5</v>
      </c>
    </row>
    <row r="64" spans="1:15" ht="33" customHeight="1">
      <c r="A64" s="46">
        <v>2</v>
      </c>
      <c r="B64" s="47" t="s">
        <v>277</v>
      </c>
      <c r="C64" s="46" t="s">
        <v>302</v>
      </c>
      <c r="D64" s="48" t="s">
        <v>303</v>
      </c>
      <c r="E64" s="46" t="s">
        <v>29</v>
      </c>
      <c r="F64" s="49">
        <v>1</v>
      </c>
      <c r="G64" s="6" t="s">
        <v>22</v>
      </c>
      <c r="H64" s="48" t="s">
        <v>304</v>
      </c>
      <c r="I64" s="50" t="s">
        <v>24</v>
      </c>
      <c r="J64" s="48" t="s">
        <v>305</v>
      </c>
      <c r="K64" s="50" t="s">
        <v>26</v>
      </c>
      <c r="L64" s="51">
        <v>46187</v>
      </c>
      <c r="M64" s="51">
        <v>46177</v>
      </c>
      <c r="N64" s="51">
        <v>46177</v>
      </c>
      <c r="O64" s="49">
        <v>1.5</v>
      </c>
    </row>
    <row r="65" spans="1:15" ht="44.25" customHeight="1">
      <c r="A65" s="52">
        <v>3</v>
      </c>
      <c r="B65" s="53" t="s">
        <v>306</v>
      </c>
      <c r="C65" s="52" t="s">
        <v>307</v>
      </c>
      <c r="D65" s="54" t="s">
        <v>308</v>
      </c>
      <c r="E65" s="52" t="s">
        <v>77</v>
      </c>
      <c r="F65" s="55">
        <v>4</v>
      </c>
      <c r="G65" s="6" t="s">
        <v>22</v>
      </c>
      <c r="H65" s="54" t="s">
        <v>309</v>
      </c>
      <c r="I65" s="56" t="s">
        <v>24</v>
      </c>
      <c r="J65" s="54" t="s">
        <v>310</v>
      </c>
      <c r="K65" s="56" t="s">
        <v>26</v>
      </c>
      <c r="L65" s="57">
        <v>46187</v>
      </c>
      <c r="M65" s="57">
        <v>46175</v>
      </c>
      <c r="N65" s="57">
        <v>46176</v>
      </c>
      <c r="O65" s="55">
        <v>5</v>
      </c>
    </row>
    <row r="66" spans="1:15" ht="33" customHeight="1">
      <c r="A66" s="52">
        <v>3</v>
      </c>
      <c r="B66" s="53" t="s">
        <v>306</v>
      </c>
      <c r="C66" s="52" t="s">
        <v>311</v>
      </c>
      <c r="D66" s="54" t="s">
        <v>312</v>
      </c>
      <c r="E66" s="52" t="s">
        <v>83</v>
      </c>
      <c r="F66" s="55">
        <v>2</v>
      </c>
      <c r="G66" s="6" t="s">
        <v>22</v>
      </c>
      <c r="H66" s="54" t="s">
        <v>313</v>
      </c>
      <c r="I66" s="56" t="s">
        <v>24</v>
      </c>
      <c r="J66" s="54" t="s">
        <v>314</v>
      </c>
      <c r="K66" s="56" t="s">
        <v>26</v>
      </c>
      <c r="L66" s="57">
        <v>46187</v>
      </c>
      <c r="M66" s="57">
        <v>46176</v>
      </c>
      <c r="N66" s="57">
        <v>46176</v>
      </c>
      <c r="O66" s="55">
        <v>2.5</v>
      </c>
    </row>
    <row r="67" spans="1:15" ht="33" customHeight="1">
      <c r="A67" s="52">
        <v>3</v>
      </c>
      <c r="B67" s="53" t="s">
        <v>306</v>
      </c>
      <c r="C67" s="52" t="s">
        <v>315</v>
      </c>
      <c r="D67" s="54" t="s">
        <v>316</v>
      </c>
      <c r="E67" s="52" t="s">
        <v>77</v>
      </c>
      <c r="F67" s="55">
        <v>1</v>
      </c>
      <c r="G67" s="6" t="s">
        <v>22</v>
      </c>
      <c r="H67" s="54" t="s">
        <v>317</v>
      </c>
      <c r="I67" s="56" t="s">
        <v>24</v>
      </c>
      <c r="J67" s="54" t="s">
        <v>318</v>
      </c>
      <c r="K67" s="56" t="s">
        <v>26</v>
      </c>
      <c r="L67" s="57">
        <v>46187</v>
      </c>
      <c r="M67" s="57">
        <v>46176</v>
      </c>
      <c r="N67" s="57">
        <v>46176</v>
      </c>
      <c r="O67" s="55">
        <v>1.5</v>
      </c>
    </row>
    <row r="68" spans="1:15" ht="33" customHeight="1">
      <c r="A68" s="52">
        <v>3</v>
      </c>
      <c r="B68" s="53" t="s">
        <v>306</v>
      </c>
      <c r="C68" s="52" t="s">
        <v>319</v>
      </c>
      <c r="D68" s="54" t="s">
        <v>320</v>
      </c>
      <c r="E68" s="52" t="s">
        <v>114</v>
      </c>
      <c r="F68" s="55">
        <v>2</v>
      </c>
      <c r="G68" s="6" t="s">
        <v>22</v>
      </c>
      <c r="H68" s="54" t="s">
        <v>321</v>
      </c>
      <c r="I68" s="56" t="s">
        <v>24</v>
      </c>
      <c r="J68" s="54" t="s">
        <v>322</v>
      </c>
      <c r="K68" s="56" t="s">
        <v>26</v>
      </c>
      <c r="L68" s="57">
        <v>46187</v>
      </c>
      <c r="M68" s="57">
        <v>46177</v>
      </c>
      <c r="N68" s="57">
        <v>46177</v>
      </c>
      <c r="O68" s="55">
        <v>3</v>
      </c>
    </row>
    <row r="69" spans="1:15" ht="22.5" customHeight="1">
      <c r="A69" s="52">
        <v>3</v>
      </c>
      <c r="B69" s="53" t="s">
        <v>306</v>
      </c>
      <c r="C69" s="52" t="s">
        <v>323</v>
      </c>
      <c r="D69" s="54" t="s">
        <v>324</v>
      </c>
      <c r="E69" s="52" t="s">
        <v>114</v>
      </c>
      <c r="F69" s="55">
        <v>1</v>
      </c>
      <c r="G69" s="6" t="s">
        <v>22</v>
      </c>
      <c r="H69" s="54" t="s">
        <v>325</v>
      </c>
      <c r="I69" s="56" t="s">
        <v>24</v>
      </c>
      <c r="J69" s="54" t="s">
        <v>326</v>
      </c>
      <c r="K69" s="56" t="s">
        <v>327</v>
      </c>
      <c r="L69" s="57">
        <v>46187</v>
      </c>
      <c r="M69" s="57">
        <v>46177</v>
      </c>
      <c r="N69" s="57">
        <v>46177</v>
      </c>
      <c r="O69" s="55">
        <v>1</v>
      </c>
    </row>
    <row r="70" spans="1:15" ht="33" customHeight="1">
      <c r="A70" s="52">
        <v>3</v>
      </c>
      <c r="B70" s="53" t="s">
        <v>306</v>
      </c>
      <c r="C70" s="52" t="s">
        <v>328</v>
      </c>
      <c r="D70" s="54" t="s">
        <v>329</v>
      </c>
      <c r="E70" s="52" t="s">
        <v>114</v>
      </c>
      <c r="F70" s="55">
        <v>2</v>
      </c>
      <c r="G70" s="6" t="s">
        <v>22</v>
      </c>
      <c r="H70" s="54" t="s">
        <v>330</v>
      </c>
      <c r="I70" s="56" t="s">
        <v>24</v>
      </c>
      <c r="J70" s="54" t="s">
        <v>322</v>
      </c>
      <c r="K70" s="56" t="s">
        <v>327</v>
      </c>
      <c r="L70" s="57">
        <v>46187</v>
      </c>
      <c r="M70" s="57">
        <v>46178</v>
      </c>
      <c r="N70" s="57">
        <v>46178</v>
      </c>
      <c r="O70" s="55">
        <v>2.5</v>
      </c>
    </row>
    <row r="71" spans="1:15" ht="33" customHeight="1">
      <c r="A71" s="52">
        <v>3</v>
      </c>
      <c r="B71" s="53" t="s">
        <v>306</v>
      </c>
      <c r="C71" s="52" t="s">
        <v>331</v>
      </c>
      <c r="D71" s="54" t="s">
        <v>332</v>
      </c>
      <c r="E71" s="52" t="s">
        <v>83</v>
      </c>
      <c r="F71" s="55">
        <v>3</v>
      </c>
      <c r="G71" s="6" t="s">
        <v>22</v>
      </c>
      <c r="H71" s="54" t="s">
        <v>333</v>
      </c>
      <c r="I71" s="56" t="s">
        <v>24</v>
      </c>
      <c r="J71" s="54" t="s">
        <v>334</v>
      </c>
      <c r="K71" s="56" t="s">
        <v>335</v>
      </c>
      <c r="L71" s="57">
        <v>46187</v>
      </c>
      <c r="M71" s="57">
        <v>46178</v>
      </c>
      <c r="N71" s="57">
        <v>46178</v>
      </c>
      <c r="O71" s="55">
        <v>3.5</v>
      </c>
    </row>
    <row r="72" spans="1:15" ht="44.25" customHeight="1">
      <c r="A72" s="52">
        <v>3</v>
      </c>
      <c r="B72" s="53" t="s">
        <v>306</v>
      </c>
      <c r="C72" s="52" t="s">
        <v>336</v>
      </c>
      <c r="D72" s="54" t="s">
        <v>337</v>
      </c>
      <c r="E72" s="52" t="s">
        <v>114</v>
      </c>
      <c r="F72" s="55">
        <v>2</v>
      </c>
      <c r="G72" s="6" t="s">
        <v>22</v>
      </c>
      <c r="H72" s="54" t="s">
        <v>338</v>
      </c>
      <c r="I72" s="56" t="s">
        <v>24</v>
      </c>
      <c r="J72" s="54" t="s">
        <v>339</v>
      </c>
      <c r="K72" s="56" t="s">
        <v>260</v>
      </c>
      <c r="L72" s="57">
        <v>46187</v>
      </c>
      <c r="M72" s="57">
        <v>46179</v>
      </c>
      <c r="N72" s="57">
        <v>46179</v>
      </c>
      <c r="O72" s="55">
        <v>2.5</v>
      </c>
    </row>
    <row r="73" spans="1:15" ht="33" customHeight="1">
      <c r="A73" s="52">
        <v>3</v>
      </c>
      <c r="B73" s="53" t="s">
        <v>306</v>
      </c>
      <c r="C73" s="52" t="s">
        <v>340</v>
      </c>
      <c r="D73" s="54" t="s">
        <v>341</v>
      </c>
      <c r="E73" s="52" t="s">
        <v>77</v>
      </c>
      <c r="F73" s="55">
        <v>1</v>
      </c>
      <c r="G73" s="6" t="s">
        <v>22</v>
      </c>
      <c r="H73" s="54" t="s">
        <v>342</v>
      </c>
      <c r="I73" s="56" t="s">
        <v>24</v>
      </c>
      <c r="J73" s="54" t="s">
        <v>343</v>
      </c>
      <c r="K73" s="56" t="s">
        <v>344</v>
      </c>
      <c r="L73" s="57">
        <v>46187</v>
      </c>
      <c r="M73" s="57">
        <v>46179</v>
      </c>
      <c r="N73" s="57">
        <v>46179</v>
      </c>
      <c r="O73" s="55">
        <v>1.5</v>
      </c>
    </row>
    <row r="74" spans="1:15" ht="33" customHeight="1">
      <c r="A74" s="52">
        <v>3</v>
      </c>
      <c r="B74" s="53" t="s">
        <v>306</v>
      </c>
      <c r="C74" s="52" t="s">
        <v>345</v>
      </c>
      <c r="D74" s="54" t="s">
        <v>346</v>
      </c>
      <c r="E74" s="52" t="s">
        <v>83</v>
      </c>
      <c r="F74" s="55">
        <v>1</v>
      </c>
      <c r="G74" s="6" t="s">
        <v>22</v>
      </c>
      <c r="H74" s="54" t="s">
        <v>347</v>
      </c>
      <c r="I74" s="56" t="s">
        <v>24</v>
      </c>
      <c r="J74" s="54" t="s">
        <v>348</v>
      </c>
      <c r="K74" s="56" t="s">
        <v>349</v>
      </c>
      <c r="L74" s="57">
        <v>46187</v>
      </c>
      <c r="M74" s="57">
        <v>46180</v>
      </c>
      <c r="N74" s="57">
        <v>46180</v>
      </c>
      <c r="O74" s="55">
        <v>1.5</v>
      </c>
    </row>
    <row r="75" spans="1:15" ht="33" customHeight="1">
      <c r="A75" s="58">
        <v>3</v>
      </c>
      <c r="B75" s="59" t="s">
        <v>350</v>
      </c>
      <c r="C75" s="58" t="s">
        <v>351</v>
      </c>
      <c r="D75" s="60" t="s">
        <v>352</v>
      </c>
      <c r="E75" s="58" t="s">
        <v>247</v>
      </c>
      <c r="F75" s="61">
        <v>1</v>
      </c>
      <c r="G75" s="6" t="s">
        <v>22</v>
      </c>
      <c r="H75" s="60" t="s">
        <v>353</v>
      </c>
      <c r="I75" s="62" t="s">
        <v>24</v>
      </c>
      <c r="J75" s="60" t="s">
        <v>354</v>
      </c>
      <c r="K75" s="62" t="s">
        <v>26</v>
      </c>
      <c r="L75" s="63">
        <v>46180</v>
      </c>
      <c r="M75" s="63">
        <v>46176</v>
      </c>
      <c r="N75" s="63">
        <v>46176</v>
      </c>
      <c r="O75" s="61">
        <v>1.5</v>
      </c>
    </row>
    <row r="76" spans="1:15" ht="33" customHeight="1">
      <c r="A76" s="58">
        <v>3</v>
      </c>
      <c r="B76" s="59" t="s">
        <v>350</v>
      </c>
      <c r="C76" s="58" t="s">
        <v>355</v>
      </c>
      <c r="D76" s="60" t="s">
        <v>356</v>
      </c>
      <c r="E76" s="58" t="s">
        <v>247</v>
      </c>
      <c r="F76" s="61">
        <v>1</v>
      </c>
      <c r="G76" s="6" t="s">
        <v>22</v>
      </c>
      <c r="H76" s="60" t="s">
        <v>357</v>
      </c>
      <c r="I76" s="62" t="s">
        <v>24</v>
      </c>
      <c r="J76" s="60" t="s">
        <v>339</v>
      </c>
      <c r="K76" s="62" t="s">
        <v>26</v>
      </c>
      <c r="L76" s="63">
        <v>46180</v>
      </c>
      <c r="M76" s="63">
        <v>46177</v>
      </c>
      <c r="N76" s="63">
        <v>46177</v>
      </c>
      <c r="O76" s="61">
        <v>1.5</v>
      </c>
    </row>
    <row r="77" spans="1:15" ht="33" customHeight="1">
      <c r="A77" s="58">
        <v>3</v>
      </c>
      <c r="B77" s="59" t="s">
        <v>350</v>
      </c>
      <c r="C77" s="58" t="s">
        <v>358</v>
      </c>
      <c r="D77" s="60" t="s">
        <v>359</v>
      </c>
      <c r="E77" s="58" t="s">
        <v>247</v>
      </c>
      <c r="F77" s="61">
        <v>3</v>
      </c>
      <c r="G77" s="6" t="s">
        <v>22</v>
      </c>
      <c r="H77" s="60" t="s">
        <v>360</v>
      </c>
      <c r="I77" s="62" t="s">
        <v>24</v>
      </c>
      <c r="J77" s="60" t="s">
        <v>361</v>
      </c>
      <c r="K77" s="62" t="s">
        <v>26</v>
      </c>
      <c r="L77" s="63">
        <v>46180</v>
      </c>
      <c r="M77" s="63">
        <v>46178</v>
      </c>
      <c r="N77" s="63">
        <v>46178</v>
      </c>
      <c r="O77" s="61">
        <v>4</v>
      </c>
    </row>
    <row r="78" spans="1:15" ht="33" customHeight="1">
      <c r="A78" s="58">
        <v>3</v>
      </c>
      <c r="B78" s="59" t="s">
        <v>350</v>
      </c>
      <c r="C78" s="58" t="s">
        <v>362</v>
      </c>
      <c r="D78" s="60" t="s">
        <v>363</v>
      </c>
      <c r="E78" s="58" t="s">
        <v>247</v>
      </c>
      <c r="F78" s="61">
        <v>1</v>
      </c>
      <c r="G78" s="6" t="s">
        <v>22</v>
      </c>
      <c r="H78" s="60" t="s">
        <v>364</v>
      </c>
      <c r="I78" s="62" t="s">
        <v>24</v>
      </c>
      <c r="J78" s="60" t="s">
        <v>365</v>
      </c>
      <c r="K78" s="62" t="s">
        <v>366</v>
      </c>
      <c r="L78" s="63">
        <v>46187</v>
      </c>
      <c r="M78" s="63">
        <v>46179</v>
      </c>
      <c r="N78" s="63">
        <v>46179</v>
      </c>
      <c r="O78" s="61">
        <v>1.5</v>
      </c>
    </row>
    <row r="79" spans="1:15" ht="33" customHeight="1">
      <c r="A79" s="58">
        <v>3</v>
      </c>
      <c r="B79" s="59" t="s">
        <v>350</v>
      </c>
      <c r="C79" s="58" t="s">
        <v>367</v>
      </c>
      <c r="D79" s="60" t="s">
        <v>368</v>
      </c>
      <c r="E79" s="58" t="s">
        <v>21</v>
      </c>
      <c r="F79" s="61">
        <v>0.5</v>
      </c>
      <c r="G79" s="6" t="s">
        <v>22</v>
      </c>
      <c r="H79" s="60" t="s">
        <v>369</v>
      </c>
      <c r="I79" s="62" t="s">
        <v>24</v>
      </c>
      <c r="J79" s="60" t="s">
        <v>370</v>
      </c>
      <c r="K79" s="62" t="s">
        <v>371</v>
      </c>
      <c r="L79" s="63">
        <v>46187</v>
      </c>
      <c r="M79" s="63">
        <v>46180</v>
      </c>
      <c r="N79" s="63">
        <v>46180</v>
      </c>
      <c r="O79" s="61">
        <v>0.5</v>
      </c>
    </row>
    <row r="80" spans="1:15" ht="33" customHeight="1">
      <c r="A80" s="64">
        <v>2</v>
      </c>
      <c r="B80" s="64" t="s">
        <v>111</v>
      </c>
      <c r="C80" s="64" t="s">
        <v>19</v>
      </c>
      <c r="D80" s="65" t="s">
        <v>372</v>
      </c>
      <c r="E80" s="66" t="s">
        <v>114</v>
      </c>
      <c r="F80" s="67">
        <v>3</v>
      </c>
      <c r="G80" s="68" t="s">
        <v>22</v>
      </c>
      <c r="H80" s="65" t="s">
        <v>373</v>
      </c>
      <c r="I80" s="67" t="s">
        <v>374</v>
      </c>
      <c r="J80" s="65" t="s">
        <v>375</v>
      </c>
      <c r="K80" s="67" t="s">
        <v>97</v>
      </c>
      <c r="L80" s="69">
        <v>46262</v>
      </c>
      <c r="M80" s="69">
        <v>46261</v>
      </c>
      <c r="N80" s="69">
        <v>46262</v>
      </c>
      <c r="O80" s="67">
        <v>3</v>
      </c>
    </row>
    <row r="81" spans="1:15" ht="33" customHeight="1">
      <c r="A81" s="64">
        <v>2</v>
      </c>
      <c r="B81" s="64" t="s">
        <v>111</v>
      </c>
      <c r="C81" s="64" t="s">
        <v>27</v>
      </c>
      <c r="D81" s="65" t="s">
        <v>376</v>
      </c>
      <c r="E81" s="66" t="s">
        <v>114</v>
      </c>
      <c r="F81" s="67">
        <v>4</v>
      </c>
      <c r="G81" s="68" t="s">
        <v>22</v>
      </c>
      <c r="H81" s="65" t="s">
        <v>377</v>
      </c>
      <c r="I81" s="67" t="s">
        <v>131</v>
      </c>
      <c r="J81" s="65" t="s">
        <v>378</v>
      </c>
      <c r="K81" s="67" t="s">
        <v>97</v>
      </c>
      <c r="L81" s="69">
        <v>46263</v>
      </c>
      <c r="M81" s="69">
        <v>46262</v>
      </c>
      <c r="N81" s="69">
        <v>46263</v>
      </c>
      <c r="O81" s="67">
        <v>5.5</v>
      </c>
    </row>
    <row r="82" spans="1:15" ht="44.25" customHeight="1">
      <c r="A82" s="64">
        <v>2</v>
      </c>
      <c r="B82" s="64" t="s">
        <v>111</v>
      </c>
      <c r="C82" s="64" t="s">
        <v>33</v>
      </c>
      <c r="D82" s="65" t="s">
        <v>379</v>
      </c>
      <c r="E82" s="66" t="s">
        <v>114</v>
      </c>
      <c r="F82" s="67">
        <v>4</v>
      </c>
      <c r="G82" s="68" t="s">
        <v>22</v>
      </c>
      <c r="H82" s="65" t="s">
        <v>380</v>
      </c>
      <c r="I82" s="67" t="s">
        <v>381</v>
      </c>
      <c r="J82" s="65" t="s">
        <v>382</v>
      </c>
      <c r="K82" s="67" t="s">
        <v>97</v>
      </c>
      <c r="L82" s="69">
        <v>46265</v>
      </c>
      <c r="M82" s="69">
        <v>46263</v>
      </c>
      <c r="N82" s="69">
        <v>46265</v>
      </c>
      <c r="O82" s="67">
        <v>3.5</v>
      </c>
    </row>
    <row r="83" spans="1:15" ht="44.25" customHeight="1">
      <c r="A83" s="64">
        <v>2</v>
      </c>
      <c r="B83" s="64" t="s">
        <v>111</v>
      </c>
      <c r="C83" s="64" t="s">
        <v>37</v>
      </c>
      <c r="D83" s="65" t="s">
        <v>383</v>
      </c>
      <c r="E83" s="66" t="s">
        <v>114</v>
      </c>
      <c r="F83" s="67">
        <v>4</v>
      </c>
      <c r="G83" s="68" t="s">
        <v>22</v>
      </c>
      <c r="H83" s="65" t="s">
        <v>384</v>
      </c>
      <c r="I83" s="67" t="s">
        <v>385</v>
      </c>
      <c r="J83" s="65" t="s">
        <v>386</v>
      </c>
      <c r="K83" s="67" t="s">
        <v>97</v>
      </c>
      <c r="L83" s="69">
        <v>46266</v>
      </c>
      <c r="M83" s="69">
        <v>46265</v>
      </c>
      <c r="N83" s="69">
        <v>46266</v>
      </c>
      <c r="O83" s="67">
        <v>3</v>
      </c>
    </row>
    <row r="84" spans="1:15" ht="44.25" customHeight="1">
      <c r="A84" s="64">
        <v>2</v>
      </c>
      <c r="B84" s="64" t="s">
        <v>111</v>
      </c>
      <c r="C84" s="64" t="s">
        <v>41</v>
      </c>
      <c r="D84" s="65" t="s">
        <v>387</v>
      </c>
      <c r="E84" s="66" t="s">
        <v>114</v>
      </c>
      <c r="F84" s="67">
        <v>4</v>
      </c>
      <c r="G84" s="68" t="s">
        <v>22</v>
      </c>
      <c r="H84" s="65" t="s">
        <v>388</v>
      </c>
      <c r="I84" s="67" t="s">
        <v>389</v>
      </c>
      <c r="J84" s="65" t="s">
        <v>390</v>
      </c>
      <c r="K84" s="67" t="s">
        <v>97</v>
      </c>
      <c r="L84" s="69">
        <v>46266</v>
      </c>
      <c r="M84" s="69">
        <v>46265</v>
      </c>
      <c r="N84" s="69">
        <v>46266</v>
      </c>
      <c r="O84" s="67">
        <v>4.5</v>
      </c>
    </row>
    <row r="85" spans="1:15" ht="44.25" customHeight="1">
      <c r="A85" s="64">
        <v>2</v>
      </c>
      <c r="B85" s="64" t="s">
        <v>111</v>
      </c>
      <c r="C85" s="64" t="s">
        <v>45</v>
      </c>
      <c r="D85" s="65" t="s">
        <v>391</v>
      </c>
      <c r="E85" s="66" t="s">
        <v>114</v>
      </c>
      <c r="F85" s="67">
        <v>4</v>
      </c>
      <c r="G85" s="68" t="s">
        <v>22</v>
      </c>
      <c r="H85" s="65" t="s">
        <v>392</v>
      </c>
      <c r="I85" s="67" t="s">
        <v>393</v>
      </c>
      <c r="J85" s="65" t="s">
        <v>394</v>
      </c>
      <c r="K85" s="67" t="s">
        <v>97</v>
      </c>
      <c r="L85" s="69">
        <v>46267</v>
      </c>
      <c r="M85" s="69">
        <v>46267</v>
      </c>
      <c r="N85" s="69">
        <v>46267</v>
      </c>
      <c r="O85" s="67">
        <v>4.5</v>
      </c>
    </row>
    <row r="86" spans="1:15" ht="44.25" customHeight="1">
      <c r="A86" s="64">
        <v>2</v>
      </c>
      <c r="B86" s="64" t="s">
        <v>111</v>
      </c>
      <c r="C86" s="64" t="s">
        <v>50</v>
      </c>
      <c r="D86" s="65" t="s">
        <v>395</v>
      </c>
      <c r="E86" s="66" t="s">
        <v>114</v>
      </c>
      <c r="F86" s="67">
        <v>3</v>
      </c>
      <c r="G86" s="68" t="s">
        <v>22</v>
      </c>
      <c r="H86" s="65" t="s">
        <v>396</v>
      </c>
      <c r="I86" s="67" t="s">
        <v>397</v>
      </c>
      <c r="J86" s="65" t="s">
        <v>398</v>
      </c>
      <c r="K86" s="67" t="s">
        <v>97</v>
      </c>
      <c r="L86" s="69">
        <v>46267</v>
      </c>
      <c r="M86" s="69">
        <v>46267</v>
      </c>
      <c r="N86" s="69">
        <v>46267</v>
      </c>
      <c r="O86" s="67">
        <v>2.5</v>
      </c>
    </row>
    <row r="87" spans="1:15" ht="33" customHeight="1">
      <c r="A87" s="70">
        <v>2</v>
      </c>
      <c r="B87" s="70" t="s">
        <v>153</v>
      </c>
      <c r="C87" s="70" t="s">
        <v>75</v>
      </c>
      <c r="D87" s="71" t="s">
        <v>399</v>
      </c>
      <c r="E87" s="66" t="s">
        <v>114</v>
      </c>
      <c r="F87" s="72">
        <v>3</v>
      </c>
      <c r="G87" s="68" t="s">
        <v>22</v>
      </c>
      <c r="H87" s="71" t="s">
        <v>400</v>
      </c>
      <c r="I87" s="72" t="s">
        <v>401</v>
      </c>
      <c r="J87" s="71" t="s">
        <v>402</v>
      </c>
      <c r="K87" s="72" t="s">
        <v>158</v>
      </c>
      <c r="L87" s="73">
        <v>46268</v>
      </c>
      <c r="M87" s="73">
        <v>46267</v>
      </c>
      <c r="N87" s="73">
        <v>46268</v>
      </c>
      <c r="O87" s="72">
        <v>2.5</v>
      </c>
    </row>
    <row r="88" spans="1:15" ht="33" customHeight="1">
      <c r="A88" s="70">
        <v>2</v>
      </c>
      <c r="B88" s="70" t="s">
        <v>153</v>
      </c>
      <c r="C88" s="70" t="s">
        <v>81</v>
      </c>
      <c r="D88" s="71" t="s">
        <v>403</v>
      </c>
      <c r="E88" s="66" t="s">
        <v>114</v>
      </c>
      <c r="F88" s="72">
        <v>2</v>
      </c>
      <c r="G88" s="68" t="s">
        <v>22</v>
      </c>
      <c r="H88" s="71" t="s">
        <v>404</v>
      </c>
      <c r="I88" s="72" t="s">
        <v>405</v>
      </c>
      <c r="J88" s="71" t="s">
        <v>167</v>
      </c>
      <c r="K88" s="72" t="s">
        <v>158</v>
      </c>
      <c r="L88" s="73">
        <v>46268</v>
      </c>
      <c r="M88" s="73">
        <v>46268</v>
      </c>
      <c r="N88" s="73">
        <v>46268</v>
      </c>
      <c r="O88" s="72">
        <v>1.5</v>
      </c>
    </row>
    <row r="89" spans="1:15" ht="33" customHeight="1">
      <c r="A89" s="70">
        <v>2</v>
      </c>
      <c r="B89" s="70" t="s">
        <v>153</v>
      </c>
      <c r="C89" s="70" t="s">
        <v>88</v>
      </c>
      <c r="D89" s="71" t="s">
        <v>406</v>
      </c>
      <c r="E89" s="66" t="s">
        <v>114</v>
      </c>
      <c r="F89" s="72">
        <v>4</v>
      </c>
      <c r="G89" s="68" t="s">
        <v>22</v>
      </c>
      <c r="H89" s="71" t="s">
        <v>407</v>
      </c>
      <c r="I89" s="72" t="s">
        <v>381</v>
      </c>
      <c r="J89" s="71" t="s">
        <v>167</v>
      </c>
      <c r="K89" s="72" t="s">
        <v>158</v>
      </c>
      <c r="L89" s="73">
        <v>46269</v>
      </c>
      <c r="M89" s="73">
        <v>46268</v>
      </c>
      <c r="N89" s="73">
        <v>46269</v>
      </c>
      <c r="O89" s="72">
        <v>4.5</v>
      </c>
    </row>
    <row r="90" spans="1:15" ht="33" customHeight="1">
      <c r="A90" s="70">
        <v>2</v>
      </c>
      <c r="B90" s="70" t="s">
        <v>153</v>
      </c>
      <c r="C90" s="70" t="s">
        <v>93</v>
      </c>
      <c r="D90" s="71" t="s">
        <v>408</v>
      </c>
      <c r="E90" s="66" t="s">
        <v>114</v>
      </c>
      <c r="F90" s="72">
        <v>4</v>
      </c>
      <c r="G90" s="68" t="s">
        <v>22</v>
      </c>
      <c r="H90" s="71" t="s">
        <v>409</v>
      </c>
      <c r="I90" s="72" t="s">
        <v>385</v>
      </c>
      <c r="J90" s="71" t="s">
        <v>410</v>
      </c>
      <c r="K90" s="72" t="s">
        <v>158</v>
      </c>
      <c r="L90" s="73">
        <v>46270</v>
      </c>
      <c r="M90" s="73">
        <v>46270</v>
      </c>
      <c r="N90" s="73">
        <v>46270</v>
      </c>
      <c r="O90" s="72">
        <v>5.5</v>
      </c>
    </row>
    <row r="91" spans="1:15" ht="33" customHeight="1">
      <c r="A91" s="70">
        <v>2</v>
      </c>
      <c r="B91" s="70" t="s">
        <v>153</v>
      </c>
      <c r="C91" s="70" t="s">
        <v>98</v>
      </c>
      <c r="D91" s="71" t="s">
        <v>411</v>
      </c>
      <c r="E91" s="66" t="s">
        <v>114</v>
      </c>
      <c r="F91" s="72">
        <v>3</v>
      </c>
      <c r="G91" s="68" t="s">
        <v>22</v>
      </c>
      <c r="H91" s="71" t="s">
        <v>412</v>
      </c>
      <c r="I91" s="72" t="s">
        <v>413</v>
      </c>
      <c r="J91" s="71" t="s">
        <v>414</v>
      </c>
      <c r="K91" s="72" t="s">
        <v>158</v>
      </c>
      <c r="L91" s="73">
        <v>46270</v>
      </c>
      <c r="M91" s="73">
        <v>46269</v>
      </c>
      <c r="N91" s="73">
        <v>46270</v>
      </c>
      <c r="O91" s="72">
        <v>3.5</v>
      </c>
    </row>
    <row r="92" spans="1:15" ht="33" customHeight="1">
      <c r="A92" s="70">
        <v>2</v>
      </c>
      <c r="B92" s="70" t="s">
        <v>153</v>
      </c>
      <c r="C92" s="70" t="s">
        <v>102</v>
      </c>
      <c r="D92" s="71" t="s">
        <v>415</v>
      </c>
      <c r="E92" s="66" t="s">
        <v>114</v>
      </c>
      <c r="F92" s="72">
        <v>2</v>
      </c>
      <c r="G92" s="68" t="s">
        <v>22</v>
      </c>
      <c r="H92" s="71" t="s">
        <v>416</v>
      </c>
      <c r="I92" s="72" t="s">
        <v>417</v>
      </c>
      <c r="J92" s="71" t="s">
        <v>418</v>
      </c>
      <c r="K92" s="72" t="s">
        <v>158</v>
      </c>
      <c r="L92" s="73">
        <v>46271</v>
      </c>
      <c r="M92" s="73">
        <v>46270</v>
      </c>
      <c r="N92" s="73">
        <v>46270</v>
      </c>
      <c r="O92" s="72">
        <v>2.5</v>
      </c>
    </row>
    <row r="93" spans="1:15" ht="33" customHeight="1">
      <c r="A93" s="74">
        <v>2</v>
      </c>
      <c r="B93" s="74" t="s">
        <v>187</v>
      </c>
      <c r="C93" s="74" t="s">
        <v>112</v>
      </c>
      <c r="D93" s="75" t="s">
        <v>419</v>
      </c>
      <c r="E93" s="66" t="s">
        <v>114</v>
      </c>
      <c r="F93" s="76">
        <v>3</v>
      </c>
      <c r="G93" s="68" t="s">
        <v>22</v>
      </c>
      <c r="H93" s="75" t="s">
        <v>420</v>
      </c>
      <c r="I93" s="76" t="s">
        <v>401</v>
      </c>
      <c r="J93" s="75" t="s">
        <v>421</v>
      </c>
      <c r="K93" s="76" t="s">
        <v>97</v>
      </c>
      <c r="L93" s="77">
        <v>46271</v>
      </c>
      <c r="M93" s="77">
        <v>46269</v>
      </c>
      <c r="N93" s="78">
        <v>46270</v>
      </c>
      <c r="O93" s="79">
        <v>2</v>
      </c>
    </row>
    <row r="94" spans="1:15" ht="33" customHeight="1">
      <c r="A94" s="74">
        <v>2</v>
      </c>
      <c r="B94" s="74" t="s">
        <v>187</v>
      </c>
      <c r="C94" s="74" t="s">
        <v>118</v>
      </c>
      <c r="D94" s="75" t="s">
        <v>422</v>
      </c>
      <c r="E94" s="66" t="s">
        <v>114</v>
      </c>
      <c r="F94" s="76">
        <v>3</v>
      </c>
      <c r="G94" s="68" t="s">
        <v>22</v>
      </c>
      <c r="H94" s="75" t="s">
        <v>423</v>
      </c>
      <c r="I94" s="76" t="s">
        <v>381</v>
      </c>
      <c r="J94" s="75" t="s">
        <v>424</v>
      </c>
      <c r="K94" s="76" t="s">
        <v>97</v>
      </c>
      <c r="L94" s="77">
        <v>46272</v>
      </c>
      <c r="M94" s="80">
        <v>46270</v>
      </c>
      <c r="N94" s="81">
        <v>46272</v>
      </c>
      <c r="O94" s="82">
        <v>4</v>
      </c>
    </row>
    <row r="95" spans="1:15" ht="33" customHeight="1">
      <c r="A95" s="74">
        <v>2</v>
      </c>
      <c r="B95" s="74" t="s">
        <v>187</v>
      </c>
      <c r="C95" s="74" t="s">
        <v>123</v>
      </c>
      <c r="D95" s="75" t="s">
        <v>425</v>
      </c>
      <c r="E95" s="66" t="s">
        <v>114</v>
      </c>
      <c r="F95" s="76">
        <v>3</v>
      </c>
      <c r="G95" s="68" t="s">
        <v>22</v>
      </c>
      <c r="H95" s="75" t="s">
        <v>426</v>
      </c>
      <c r="I95" s="76" t="s">
        <v>385</v>
      </c>
      <c r="J95" s="75" t="s">
        <v>427</v>
      </c>
      <c r="K95" s="76" t="s">
        <v>97</v>
      </c>
      <c r="L95" s="77">
        <v>46273</v>
      </c>
      <c r="M95" s="80">
        <v>46272</v>
      </c>
      <c r="N95" s="81">
        <v>46273</v>
      </c>
      <c r="O95" s="82">
        <v>3.5</v>
      </c>
    </row>
    <row r="96" spans="1:15" ht="44.25" customHeight="1">
      <c r="A96" s="74">
        <v>2</v>
      </c>
      <c r="B96" s="74" t="s">
        <v>187</v>
      </c>
      <c r="C96" s="74" t="s">
        <v>128</v>
      </c>
      <c r="D96" s="75" t="s">
        <v>428</v>
      </c>
      <c r="E96" s="66" t="s">
        <v>114</v>
      </c>
      <c r="F96" s="76">
        <v>3</v>
      </c>
      <c r="G96" s="68" t="s">
        <v>22</v>
      </c>
      <c r="H96" s="75" t="s">
        <v>429</v>
      </c>
      <c r="I96" s="76" t="s">
        <v>430</v>
      </c>
      <c r="J96" s="75" t="s">
        <v>431</v>
      </c>
      <c r="K96" s="76" t="s">
        <v>97</v>
      </c>
      <c r="L96" s="77">
        <v>46273</v>
      </c>
      <c r="M96" s="80">
        <v>46272</v>
      </c>
      <c r="N96" s="81">
        <v>46273</v>
      </c>
      <c r="O96" s="82">
        <v>4.5</v>
      </c>
    </row>
    <row r="97" spans="1:15" ht="33" customHeight="1">
      <c r="A97" s="83">
        <v>2</v>
      </c>
      <c r="B97" s="83" t="s">
        <v>219</v>
      </c>
      <c r="C97" s="83" t="s">
        <v>154</v>
      </c>
      <c r="D97" s="84" t="s">
        <v>432</v>
      </c>
      <c r="E97" s="66" t="s">
        <v>433</v>
      </c>
      <c r="F97" s="85">
        <v>3</v>
      </c>
      <c r="G97" s="68" t="s">
        <v>22</v>
      </c>
      <c r="H97" s="84" t="s">
        <v>434</v>
      </c>
      <c r="I97" s="85" t="s">
        <v>24</v>
      </c>
      <c r="J97" s="84" t="s">
        <v>435</v>
      </c>
      <c r="K97" s="85" t="s">
        <v>49</v>
      </c>
      <c r="L97" s="86">
        <v>46274</v>
      </c>
      <c r="M97" s="87">
        <v>46274</v>
      </c>
      <c r="N97" s="88">
        <v>46275</v>
      </c>
      <c r="O97" s="89">
        <v>5</v>
      </c>
    </row>
    <row r="98" spans="1:15" ht="33" customHeight="1">
      <c r="A98" s="83">
        <v>2</v>
      </c>
      <c r="B98" s="83" t="s">
        <v>219</v>
      </c>
      <c r="C98" s="83" t="s">
        <v>159</v>
      </c>
      <c r="D98" s="84" t="s">
        <v>436</v>
      </c>
      <c r="E98" s="66" t="s">
        <v>437</v>
      </c>
      <c r="F98" s="85">
        <v>2</v>
      </c>
      <c r="G98" s="68" t="s">
        <v>22</v>
      </c>
      <c r="H98" s="84" t="s">
        <v>438</v>
      </c>
      <c r="I98" s="85" t="s">
        <v>439</v>
      </c>
      <c r="J98" s="84" t="s">
        <v>440</v>
      </c>
      <c r="K98" s="85" t="s">
        <v>49</v>
      </c>
      <c r="L98" s="86">
        <v>46274</v>
      </c>
      <c r="M98" s="87">
        <v>46266</v>
      </c>
      <c r="N98" s="88">
        <v>46268</v>
      </c>
      <c r="O98" s="89">
        <v>4.5</v>
      </c>
    </row>
    <row r="99" spans="1:15" ht="22.5" customHeight="1">
      <c r="A99" s="83">
        <v>2</v>
      </c>
      <c r="B99" s="83" t="s">
        <v>219</v>
      </c>
      <c r="C99" s="83" t="s">
        <v>163</v>
      </c>
      <c r="D99" s="84" t="s">
        <v>441</v>
      </c>
      <c r="E99" s="66" t="s">
        <v>442</v>
      </c>
      <c r="F99" s="85">
        <v>2</v>
      </c>
      <c r="G99" s="68" t="s">
        <v>22</v>
      </c>
      <c r="H99" s="84" t="s">
        <v>443</v>
      </c>
      <c r="I99" s="85" t="s">
        <v>381</v>
      </c>
      <c r="J99" s="84" t="s">
        <v>444</v>
      </c>
      <c r="K99" s="85" t="s">
        <v>49</v>
      </c>
      <c r="L99" s="86">
        <v>46275</v>
      </c>
      <c r="M99" s="87">
        <v>46274</v>
      </c>
      <c r="N99" s="88">
        <v>46275</v>
      </c>
      <c r="O99" s="89">
        <v>2</v>
      </c>
    </row>
    <row r="100" spans="1:15" ht="22.5" customHeight="1">
      <c r="A100" s="83">
        <v>2</v>
      </c>
      <c r="B100" s="83" t="s">
        <v>219</v>
      </c>
      <c r="C100" s="83" t="s">
        <v>168</v>
      </c>
      <c r="D100" s="84" t="s">
        <v>445</v>
      </c>
      <c r="E100" s="66" t="s">
        <v>247</v>
      </c>
      <c r="F100" s="85">
        <v>2</v>
      </c>
      <c r="G100" s="68" t="s">
        <v>22</v>
      </c>
      <c r="H100" s="84" t="s">
        <v>443</v>
      </c>
      <c r="I100" s="85" t="s">
        <v>385</v>
      </c>
      <c r="J100" s="84" t="s">
        <v>446</v>
      </c>
      <c r="K100" s="85" t="s">
        <v>49</v>
      </c>
      <c r="L100" s="86">
        <v>46275</v>
      </c>
      <c r="M100" s="87">
        <v>46274</v>
      </c>
      <c r="N100" s="88">
        <v>46275</v>
      </c>
      <c r="O100" s="89">
        <v>3</v>
      </c>
    </row>
    <row r="101" spans="1:15" ht="44.25" customHeight="1">
      <c r="A101" s="83">
        <v>2</v>
      </c>
      <c r="B101" s="83" t="s">
        <v>219</v>
      </c>
      <c r="C101" s="83" t="s">
        <v>172</v>
      </c>
      <c r="D101" s="84" t="s">
        <v>447</v>
      </c>
      <c r="E101" s="66" t="s">
        <v>442</v>
      </c>
      <c r="F101" s="85">
        <v>2</v>
      </c>
      <c r="G101" s="68" t="s">
        <v>22</v>
      </c>
      <c r="H101" s="84" t="s">
        <v>443</v>
      </c>
      <c r="I101" s="85" t="s">
        <v>448</v>
      </c>
      <c r="J101" s="84" t="s">
        <v>449</v>
      </c>
      <c r="K101" s="85" t="s">
        <v>49</v>
      </c>
      <c r="L101" s="86">
        <v>46276</v>
      </c>
      <c r="M101" s="87">
        <v>46275</v>
      </c>
      <c r="N101" s="88">
        <v>46276</v>
      </c>
      <c r="O101" s="89">
        <v>5.5</v>
      </c>
    </row>
    <row r="102" spans="1:15" ht="33" customHeight="1">
      <c r="A102" s="83">
        <v>2</v>
      </c>
      <c r="B102" s="83" t="s">
        <v>219</v>
      </c>
      <c r="C102" s="83" t="s">
        <v>176</v>
      </c>
      <c r="D102" s="84" t="s">
        <v>450</v>
      </c>
      <c r="E102" s="66" t="s">
        <v>21</v>
      </c>
      <c r="F102" s="85">
        <v>2</v>
      </c>
      <c r="G102" s="68" t="s">
        <v>22</v>
      </c>
      <c r="H102" s="84" t="s">
        <v>451</v>
      </c>
      <c r="I102" s="85" t="s">
        <v>24</v>
      </c>
      <c r="J102" s="84" t="s">
        <v>452</v>
      </c>
      <c r="K102" s="85" t="s">
        <v>453</v>
      </c>
      <c r="L102" s="86">
        <v>46276</v>
      </c>
      <c r="M102" s="87">
        <v>46276</v>
      </c>
      <c r="N102" s="88">
        <v>46276</v>
      </c>
      <c r="O102" s="89">
        <v>1.5</v>
      </c>
    </row>
    <row r="103" spans="1:15" ht="22.5" customHeight="1">
      <c r="A103" s="90">
        <v>2</v>
      </c>
      <c r="B103" s="90" t="s">
        <v>255</v>
      </c>
      <c r="C103" s="90" t="s">
        <v>188</v>
      </c>
      <c r="D103" s="91" t="s">
        <v>454</v>
      </c>
      <c r="E103" s="66" t="s">
        <v>455</v>
      </c>
      <c r="F103" s="92">
        <v>1</v>
      </c>
      <c r="G103" s="68" t="s">
        <v>22</v>
      </c>
      <c r="H103" s="91" t="s">
        <v>456</v>
      </c>
      <c r="I103" s="92" t="s">
        <v>24</v>
      </c>
      <c r="J103" s="91" t="s">
        <v>457</v>
      </c>
      <c r="K103" s="92" t="s">
        <v>260</v>
      </c>
      <c r="L103" s="93">
        <v>46260</v>
      </c>
      <c r="M103" s="94">
        <v>46275</v>
      </c>
      <c r="N103" s="95">
        <v>46275</v>
      </c>
      <c r="O103" s="96">
        <v>1.5</v>
      </c>
    </row>
    <row r="104" spans="1:15" ht="22.5" customHeight="1">
      <c r="A104" s="90">
        <v>2</v>
      </c>
      <c r="B104" s="90" t="s">
        <v>255</v>
      </c>
      <c r="C104" s="90" t="s">
        <v>192</v>
      </c>
      <c r="D104" s="91" t="s">
        <v>458</v>
      </c>
      <c r="E104" s="66" t="s">
        <v>114</v>
      </c>
      <c r="F104" s="92">
        <v>3</v>
      </c>
      <c r="G104" s="68" t="s">
        <v>22</v>
      </c>
      <c r="H104" s="91" t="s">
        <v>459</v>
      </c>
      <c r="I104" s="92" t="s">
        <v>24</v>
      </c>
      <c r="J104" s="91" t="s">
        <v>460</v>
      </c>
      <c r="K104" s="92" t="s">
        <v>260</v>
      </c>
      <c r="L104" s="93">
        <v>46262</v>
      </c>
      <c r="M104" s="94">
        <v>46261</v>
      </c>
      <c r="N104" s="95">
        <v>46262</v>
      </c>
      <c r="O104" s="96">
        <v>1.5</v>
      </c>
    </row>
    <row r="105" spans="1:15" ht="33" customHeight="1">
      <c r="A105" s="90">
        <v>2</v>
      </c>
      <c r="B105" s="90" t="s">
        <v>255</v>
      </c>
      <c r="C105" s="90" t="s">
        <v>196</v>
      </c>
      <c r="D105" s="91" t="s">
        <v>461</v>
      </c>
      <c r="E105" s="66" t="s">
        <v>247</v>
      </c>
      <c r="F105" s="92">
        <v>3</v>
      </c>
      <c r="G105" s="68" t="s">
        <v>22</v>
      </c>
      <c r="H105" s="91" t="s">
        <v>462</v>
      </c>
      <c r="I105" s="92" t="s">
        <v>24</v>
      </c>
      <c r="J105" s="91" t="s">
        <v>463</v>
      </c>
      <c r="K105" s="92" t="s">
        <v>26</v>
      </c>
      <c r="L105" s="93">
        <v>46275</v>
      </c>
      <c r="M105" s="94">
        <v>46274</v>
      </c>
      <c r="N105" s="95">
        <v>46275</v>
      </c>
      <c r="O105" s="96">
        <v>4.5</v>
      </c>
    </row>
    <row r="106" spans="1:15" ht="33" customHeight="1">
      <c r="A106" s="90">
        <v>2</v>
      </c>
      <c r="B106" s="90" t="s">
        <v>255</v>
      </c>
      <c r="C106" s="90" t="s">
        <v>201</v>
      </c>
      <c r="D106" s="91" t="s">
        <v>464</v>
      </c>
      <c r="E106" s="66" t="s">
        <v>442</v>
      </c>
      <c r="F106" s="92">
        <v>2</v>
      </c>
      <c r="G106" s="68" t="s">
        <v>22</v>
      </c>
      <c r="H106" s="91" t="s">
        <v>465</v>
      </c>
      <c r="I106" s="92" t="s">
        <v>24</v>
      </c>
      <c r="J106" s="91" t="s">
        <v>466</v>
      </c>
      <c r="K106" s="92" t="s">
        <v>26</v>
      </c>
      <c r="L106" s="93">
        <v>46277</v>
      </c>
      <c r="M106" s="94">
        <v>46276</v>
      </c>
      <c r="N106" s="95">
        <v>46277</v>
      </c>
      <c r="O106" s="96">
        <v>3</v>
      </c>
    </row>
    <row r="107" spans="1:15" ht="22.5" customHeight="1">
      <c r="A107" s="90">
        <v>2</v>
      </c>
      <c r="B107" s="90" t="s">
        <v>255</v>
      </c>
      <c r="C107" s="90" t="s">
        <v>206</v>
      </c>
      <c r="D107" s="91" t="s">
        <v>467</v>
      </c>
      <c r="E107" s="66" t="s">
        <v>247</v>
      </c>
      <c r="F107" s="92">
        <v>1</v>
      </c>
      <c r="G107" s="68" t="s">
        <v>22</v>
      </c>
      <c r="H107" s="91" t="s">
        <v>468</v>
      </c>
      <c r="I107" s="92" t="s">
        <v>24</v>
      </c>
      <c r="J107" s="91" t="s">
        <v>469</v>
      </c>
      <c r="K107" s="92" t="s">
        <v>26</v>
      </c>
      <c r="L107" s="93">
        <v>46277</v>
      </c>
      <c r="M107" s="94">
        <v>46277</v>
      </c>
      <c r="N107" s="95">
        <v>46277</v>
      </c>
      <c r="O107" s="96">
        <v>4.5</v>
      </c>
    </row>
    <row r="108" spans="1:15" ht="33" customHeight="1">
      <c r="A108" s="97">
        <v>2</v>
      </c>
      <c r="B108" s="97" t="s">
        <v>277</v>
      </c>
      <c r="C108" s="97" t="s">
        <v>220</v>
      </c>
      <c r="D108" s="98" t="s">
        <v>470</v>
      </c>
      <c r="E108" s="66" t="s">
        <v>455</v>
      </c>
      <c r="F108" s="99">
        <v>3</v>
      </c>
      <c r="G108" s="68" t="s">
        <v>22</v>
      </c>
      <c r="H108" s="98" t="s">
        <v>471</v>
      </c>
      <c r="I108" s="99" t="s">
        <v>439</v>
      </c>
      <c r="J108" s="98" t="s">
        <v>472</v>
      </c>
      <c r="K108" s="99" t="s">
        <v>473</v>
      </c>
      <c r="L108" s="100">
        <v>46273</v>
      </c>
      <c r="M108" s="101">
        <v>46274</v>
      </c>
      <c r="N108" s="102">
        <v>46275</v>
      </c>
      <c r="O108" s="103">
        <v>4</v>
      </c>
    </row>
    <row r="109" spans="1:15" ht="33" customHeight="1">
      <c r="A109" s="97">
        <v>2</v>
      </c>
      <c r="B109" s="97" t="s">
        <v>277</v>
      </c>
      <c r="C109" s="97" t="s">
        <v>225</v>
      </c>
      <c r="D109" s="98" t="s">
        <v>474</v>
      </c>
      <c r="E109" s="66" t="s">
        <v>475</v>
      </c>
      <c r="F109" s="99">
        <v>3</v>
      </c>
      <c r="G109" s="68" t="s">
        <v>22</v>
      </c>
      <c r="H109" s="98" t="s">
        <v>476</v>
      </c>
      <c r="I109" s="99" t="s">
        <v>381</v>
      </c>
      <c r="J109" s="98" t="s">
        <v>477</v>
      </c>
      <c r="K109" s="99" t="s">
        <v>473</v>
      </c>
      <c r="L109" s="100">
        <v>46274</v>
      </c>
      <c r="M109" s="101">
        <v>46274</v>
      </c>
      <c r="N109" s="102">
        <v>46275</v>
      </c>
      <c r="O109" s="103">
        <v>5</v>
      </c>
    </row>
    <row r="110" spans="1:15" ht="33" customHeight="1">
      <c r="A110" s="97">
        <v>2</v>
      </c>
      <c r="B110" s="97" t="s">
        <v>277</v>
      </c>
      <c r="C110" s="97" t="s">
        <v>230</v>
      </c>
      <c r="D110" s="98" t="s">
        <v>478</v>
      </c>
      <c r="E110" s="66" t="s">
        <v>479</v>
      </c>
      <c r="F110" s="99">
        <v>3</v>
      </c>
      <c r="G110" s="68" t="s">
        <v>22</v>
      </c>
      <c r="H110" s="98" t="s">
        <v>476</v>
      </c>
      <c r="I110" s="99" t="s">
        <v>385</v>
      </c>
      <c r="J110" s="98" t="s">
        <v>480</v>
      </c>
      <c r="K110" s="99" t="s">
        <v>473</v>
      </c>
      <c r="L110" s="100">
        <v>46275</v>
      </c>
      <c r="M110" s="101">
        <v>46274</v>
      </c>
      <c r="N110" s="102">
        <v>46275</v>
      </c>
      <c r="O110" s="103">
        <v>5.5</v>
      </c>
    </row>
    <row r="111" spans="1:15" ht="55.5" customHeight="1">
      <c r="A111" s="97">
        <v>2</v>
      </c>
      <c r="B111" s="97" t="s">
        <v>277</v>
      </c>
      <c r="C111" s="97" t="s">
        <v>234</v>
      </c>
      <c r="D111" s="98" t="s">
        <v>481</v>
      </c>
      <c r="E111" s="66" t="s">
        <v>482</v>
      </c>
      <c r="F111" s="99">
        <v>4</v>
      </c>
      <c r="G111" s="68" t="s">
        <v>22</v>
      </c>
      <c r="H111" s="98" t="s">
        <v>483</v>
      </c>
      <c r="I111" s="99" t="s">
        <v>484</v>
      </c>
      <c r="J111" s="98" t="s">
        <v>485</v>
      </c>
      <c r="K111" s="99" t="s">
        <v>473</v>
      </c>
      <c r="L111" s="100">
        <v>46276</v>
      </c>
      <c r="M111" s="101">
        <v>46275</v>
      </c>
      <c r="N111" s="102">
        <v>46276</v>
      </c>
      <c r="O111" s="103">
        <v>2.5</v>
      </c>
    </row>
    <row r="112" spans="1:15" ht="33" customHeight="1">
      <c r="A112" s="97">
        <v>2</v>
      </c>
      <c r="B112" s="97" t="s">
        <v>277</v>
      </c>
      <c r="C112" s="97" t="s">
        <v>238</v>
      </c>
      <c r="D112" s="98" t="s">
        <v>486</v>
      </c>
      <c r="E112" s="66" t="s">
        <v>487</v>
      </c>
      <c r="F112" s="99">
        <v>2</v>
      </c>
      <c r="G112" s="68" t="s">
        <v>22</v>
      </c>
      <c r="H112" s="98" t="s">
        <v>488</v>
      </c>
      <c r="I112" s="99" t="s">
        <v>24</v>
      </c>
      <c r="J112" s="98" t="s">
        <v>489</v>
      </c>
      <c r="K112" s="99" t="s">
        <v>26</v>
      </c>
      <c r="L112" s="100">
        <v>46277</v>
      </c>
      <c r="M112" s="101">
        <v>46277</v>
      </c>
      <c r="N112" s="102">
        <v>46277</v>
      </c>
      <c r="O112" s="103">
        <v>5.5</v>
      </c>
    </row>
    <row r="113" spans="1:16" ht="33" customHeight="1">
      <c r="A113" s="104">
        <v>2</v>
      </c>
      <c r="B113" s="104" t="s">
        <v>306</v>
      </c>
      <c r="C113" s="104" t="s">
        <v>256</v>
      </c>
      <c r="D113" s="105" t="s">
        <v>490</v>
      </c>
      <c r="E113" s="66" t="s">
        <v>21</v>
      </c>
      <c r="F113" s="106">
        <v>4</v>
      </c>
      <c r="G113" s="68" t="s">
        <v>22</v>
      </c>
      <c r="H113" s="105" t="s">
        <v>491</v>
      </c>
      <c r="I113" s="106" t="s">
        <v>24</v>
      </c>
      <c r="J113" s="105" t="s">
        <v>492</v>
      </c>
      <c r="K113" s="106" t="s">
        <v>26</v>
      </c>
      <c r="L113" s="107">
        <v>46277</v>
      </c>
      <c r="M113" s="108">
        <v>46276</v>
      </c>
      <c r="N113" s="109">
        <v>46277</v>
      </c>
      <c r="O113" s="110">
        <v>4</v>
      </c>
    </row>
    <row r="114" spans="1:16" ht="33" customHeight="1">
      <c r="A114" s="104">
        <v>2</v>
      </c>
      <c r="B114" s="104" t="s">
        <v>306</v>
      </c>
      <c r="C114" s="104" t="s">
        <v>261</v>
      </c>
      <c r="D114" s="105" t="s">
        <v>493</v>
      </c>
      <c r="E114" s="66" t="s">
        <v>21</v>
      </c>
      <c r="F114" s="106">
        <v>2</v>
      </c>
      <c r="G114" s="68" t="s">
        <v>22</v>
      </c>
      <c r="H114" s="105" t="s">
        <v>494</v>
      </c>
      <c r="I114" s="106" t="s">
        <v>24</v>
      </c>
      <c r="J114" s="105" t="s">
        <v>495</v>
      </c>
      <c r="K114" s="106" t="s">
        <v>26</v>
      </c>
      <c r="L114" s="107">
        <v>46277</v>
      </c>
      <c r="M114" s="108">
        <v>46277</v>
      </c>
      <c r="N114" s="109">
        <v>46277</v>
      </c>
      <c r="O114" s="110">
        <v>3</v>
      </c>
    </row>
    <row r="115" spans="1:16" ht="33" customHeight="1">
      <c r="A115" s="104">
        <v>2</v>
      </c>
      <c r="B115" s="104" t="s">
        <v>306</v>
      </c>
      <c r="C115" s="104" t="s">
        <v>265</v>
      </c>
      <c r="D115" s="105" t="s">
        <v>496</v>
      </c>
      <c r="E115" s="66" t="s">
        <v>21</v>
      </c>
      <c r="F115" s="106">
        <v>1</v>
      </c>
      <c r="G115" s="68" t="s">
        <v>22</v>
      </c>
      <c r="H115" s="105" t="s">
        <v>317</v>
      </c>
      <c r="I115" s="106" t="s">
        <v>24</v>
      </c>
      <c r="J115" s="105" t="s">
        <v>318</v>
      </c>
      <c r="K115" s="106" t="s">
        <v>26</v>
      </c>
      <c r="L115" s="107">
        <v>46278</v>
      </c>
      <c r="M115" s="108">
        <v>46278</v>
      </c>
      <c r="N115" s="109">
        <v>46278</v>
      </c>
      <c r="O115" s="110">
        <v>2.5</v>
      </c>
    </row>
    <row r="116" spans="1:16" ht="33" customHeight="1">
      <c r="A116" s="104">
        <v>2</v>
      </c>
      <c r="B116" s="104" t="s">
        <v>306</v>
      </c>
      <c r="C116" s="104" t="s">
        <v>269</v>
      </c>
      <c r="D116" s="105" t="s">
        <v>497</v>
      </c>
      <c r="E116" s="66" t="s">
        <v>475</v>
      </c>
      <c r="F116" s="106">
        <v>2</v>
      </c>
      <c r="G116" s="68" t="s">
        <v>22</v>
      </c>
      <c r="H116" s="105" t="s">
        <v>498</v>
      </c>
      <c r="I116" s="106" t="s">
        <v>24</v>
      </c>
      <c r="J116" s="105" t="s">
        <v>499</v>
      </c>
      <c r="K116" s="106" t="s">
        <v>327</v>
      </c>
      <c r="L116" s="107">
        <v>46277</v>
      </c>
      <c r="M116" s="108">
        <v>46277</v>
      </c>
      <c r="N116" s="109">
        <v>46277</v>
      </c>
      <c r="O116" s="110">
        <v>1.5</v>
      </c>
    </row>
    <row r="117" spans="1:16" ht="33" customHeight="1">
      <c r="A117" s="104">
        <v>2</v>
      </c>
      <c r="B117" s="104" t="s">
        <v>306</v>
      </c>
      <c r="C117" s="104" t="s">
        <v>273</v>
      </c>
      <c r="D117" s="105" t="s">
        <v>500</v>
      </c>
      <c r="E117" s="66" t="s">
        <v>21</v>
      </c>
      <c r="F117" s="106">
        <v>3</v>
      </c>
      <c r="G117" s="68" t="s">
        <v>22</v>
      </c>
      <c r="H117" s="105" t="s">
        <v>501</v>
      </c>
      <c r="I117" s="106" t="s">
        <v>24</v>
      </c>
      <c r="J117" s="105" t="s">
        <v>502</v>
      </c>
      <c r="K117" s="106" t="s">
        <v>335</v>
      </c>
      <c r="L117" s="107">
        <v>46278</v>
      </c>
      <c r="M117" s="108">
        <v>46277</v>
      </c>
      <c r="N117" s="109">
        <v>46278</v>
      </c>
      <c r="O117" s="110">
        <v>2</v>
      </c>
    </row>
    <row r="118" spans="1:16" ht="22.5" customHeight="1">
      <c r="A118" s="104">
        <v>2</v>
      </c>
      <c r="B118" s="104" t="s">
        <v>306</v>
      </c>
      <c r="C118" s="104" t="s">
        <v>503</v>
      </c>
      <c r="D118" s="105" t="s">
        <v>504</v>
      </c>
      <c r="E118" s="66" t="s">
        <v>505</v>
      </c>
      <c r="F118" s="106">
        <v>1</v>
      </c>
      <c r="G118" s="68" t="s">
        <v>22</v>
      </c>
      <c r="H118" s="105" t="s">
        <v>506</v>
      </c>
      <c r="I118" s="106" t="s">
        <v>24</v>
      </c>
      <c r="J118" s="105" t="s">
        <v>507</v>
      </c>
      <c r="K118" s="106" t="s">
        <v>260</v>
      </c>
      <c r="L118" s="107">
        <v>46278</v>
      </c>
      <c r="M118" s="108">
        <v>46278</v>
      </c>
      <c r="N118" s="109">
        <v>46278</v>
      </c>
      <c r="O118" s="110">
        <v>3.5</v>
      </c>
    </row>
    <row r="119" spans="1:16" ht="33" customHeight="1">
      <c r="A119" s="104">
        <v>2</v>
      </c>
      <c r="B119" s="104" t="s">
        <v>306</v>
      </c>
      <c r="C119" s="104" t="s">
        <v>508</v>
      </c>
      <c r="D119" s="105" t="s">
        <v>509</v>
      </c>
      <c r="E119" s="66" t="s">
        <v>455</v>
      </c>
      <c r="F119" s="106">
        <v>1</v>
      </c>
      <c r="G119" s="68" t="s">
        <v>22</v>
      </c>
      <c r="H119" s="105" t="s">
        <v>510</v>
      </c>
      <c r="I119" s="106" t="s">
        <v>24</v>
      </c>
      <c r="J119" s="105" t="s">
        <v>343</v>
      </c>
      <c r="K119" s="106" t="s">
        <v>344</v>
      </c>
      <c r="L119" s="107">
        <v>46278</v>
      </c>
      <c r="M119" s="108">
        <v>46278</v>
      </c>
      <c r="N119" s="109">
        <v>46278</v>
      </c>
      <c r="O119" s="110">
        <v>2</v>
      </c>
    </row>
    <row r="120" spans="1:16" ht="33" customHeight="1">
      <c r="A120" s="104">
        <v>2</v>
      </c>
      <c r="B120" s="104" t="s">
        <v>306</v>
      </c>
      <c r="C120" s="104" t="s">
        <v>511</v>
      </c>
      <c r="D120" s="105" t="s">
        <v>512</v>
      </c>
      <c r="E120" s="66" t="s">
        <v>482</v>
      </c>
      <c r="F120" s="106">
        <v>1</v>
      </c>
      <c r="G120" s="68" t="s">
        <v>22</v>
      </c>
      <c r="H120" s="105" t="s">
        <v>513</v>
      </c>
      <c r="I120" s="106" t="s">
        <v>24</v>
      </c>
      <c r="J120" s="105" t="s">
        <v>514</v>
      </c>
      <c r="K120" s="106" t="s">
        <v>349</v>
      </c>
      <c r="L120" s="107">
        <v>46278</v>
      </c>
      <c r="M120" s="108">
        <v>46278</v>
      </c>
      <c r="N120" s="109">
        <v>46278</v>
      </c>
      <c r="O120" s="110">
        <v>2</v>
      </c>
    </row>
    <row r="121" spans="1:16" ht="33" customHeight="1">
      <c r="A121" s="104">
        <v>2</v>
      </c>
      <c r="B121" s="104" t="s">
        <v>306</v>
      </c>
      <c r="C121" s="104" t="s">
        <v>515</v>
      </c>
      <c r="D121" s="105" t="s">
        <v>516</v>
      </c>
      <c r="E121" s="66" t="s">
        <v>482</v>
      </c>
      <c r="F121" s="106">
        <v>1</v>
      </c>
      <c r="G121" s="68" t="s">
        <v>22</v>
      </c>
      <c r="H121" s="105" t="s">
        <v>517</v>
      </c>
      <c r="I121" s="106" t="s">
        <v>24</v>
      </c>
      <c r="J121" s="105" t="s">
        <v>518</v>
      </c>
      <c r="K121" s="106" t="s">
        <v>519</v>
      </c>
      <c r="L121" s="107">
        <v>46277</v>
      </c>
      <c r="M121" s="108">
        <v>46276</v>
      </c>
      <c r="N121" s="109">
        <v>46277</v>
      </c>
      <c r="O121" s="110">
        <v>1.5</v>
      </c>
    </row>
    <row r="122" spans="1:16" ht="33" customHeight="1">
      <c r="A122" s="104">
        <v>2</v>
      </c>
      <c r="B122" s="104" t="s">
        <v>306</v>
      </c>
      <c r="C122" s="104" t="s">
        <v>520</v>
      </c>
      <c r="D122" s="105" t="s">
        <v>521</v>
      </c>
      <c r="E122" s="66" t="s">
        <v>522</v>
      </c>
      <c r="F122" s="106">
        <v>1</v>
      </c>
      <c r="G122" s="68" t="s">
        <v>22</v>
      </c>
      <c r="H122" s="105" t="s">
        <v>523</v>
      </c>
      <c r="I122" s="106" t="s">
        <v>24</v>
      </c>
      <c r="J122" s="105" t="s">
        <v>524</v>
      </c>
      <c r="K122" s="106" t="s">
        <v>327</v>
      </c>
      <c r="L122" s="107">
        <v>46278</v>
      </c>
      <c r="M122" s="108">
        <v>46278</v>
      </c>
      <c r="N122" s="108">
        <v>46278</v>
      </c>
      <c r="O122" s="110">
        <v>3</v>
      </c>
    </row>
    <row r="123" spans="1:16" ht="22.5" customHeight="1">
      <c r="A123" s="111">
        <v>2</v>
      </c>
      <c r="B123" s="111" t="s">
        <v>350</v>
      </c>
      <c r="C123" s="111" t="s">
        <v>278</v>
      </c>
      <c r="D123" s="112" t="s">
        <v>525</v>
      </c>
      <c r="E123" s="66" t="s">
        <v>505</v>
      </c>
      <c r="F123" s="113">
        <v>1</v>
      </c>
      <c r="G123" s="68" t="s">
        <v>22</v>
      </c>
      <c r="H123" s="112" t="s">
        <v>353</v>
      </c>
      <c r="I123" s="113" t="s">
        <v>24</v>
      </c>
      <c r="J123" s="112" t="s">
        <v>526</v>
      </c>
      <c r="K123" s="113" t="s">
        <v>26</v>
      </c>
      <c r="L123" s="114">
        <v>46262</v>
      </c>
      <c r="M123" s="115">
        <v>46259</v>
      </c>
      <c r="N123" s="116">
        <v>46260</v>
      </c>
      <c r="O123" s="117">
        <v>4.5</v>
      </c>
    </row>
    <row r="124" spans="1:16" ht="33" customHeight="1">
      <c r="A124" s="111">
        <v>2</v>
      </c>
      <c r="B124" s="111" t="s">
        <v>350</v>
      </c>
      <c r="C124" s="111" t="s">
        <v>283</v>
      </c>
      <c r="D124" s="112" t="s">
        <v>527</v>
      </c>
      <c r="E124" s="66" t="s">
        <v>437</v>
      </c>
      <c r="F124" s="113">
        <v>1</v>
      </c>
      <c r="G124" s="68" t="s">
        <v>22</v>
      </c>
      <c r="H124" s="112" t="s">
        <v>528</v>
      </c>
      <c r="I124" s="113" t="s">
        <v>24</v>
      </c>
      <c r="J124" s="112" t="s">
        <v>339</v>
      </c>
      <c r="K124" s="113" t="s">
        <v>26</v>
      </c>
      <c r="L124" s="114">
        <v>46268</v>
      </c>
      <c r="M124" s="115">
        <v>46259</v>
      </c>
      <c r="N124" s="116">
        <v>46268</v>
      </c>
      <c r="O124" s="117">
        <v>4.5</v>
      </c>
    </row>
    <row r="125" spans="1:16" ht="33" customHeight="1">
      <c r="A125" s="111">
        <v>2</v>
      </c>
      <c r="B125" s="111" t="s">
        <v>350</v>
      </c>
      <c r="C125" s="111" t="s">
        <v>286</v>
      </c>
      <c r="D125" s="112" t="s">
        <v>529</v>
      </c>
      <c r="E125" s="66" t="s">
        <v>505</v>
      </c>
      <c r="F125" s="113">
        <v>3</v>
      </c>
      <c r="G125" s="68" t="s">
        <v>22</v>
      </c>
      <c r="H125" s="112" t="s">
        <v>530</v>
      </c>
      <c r="I125" s="113" t="s">
        <v>531</v>
      </c>
      <c r="J125" s="112" t="s">
        <v>532</v>
      </c>
      <c r="K125" s="113" t="s">
        <v>26</v>
      </c>
      <c r="L125" s="114">
        <v>46272</v>
      </c>
      <c r="M125" s="115">
        <v>46271</v>
      </c>
      <c r="N125" s="116">
        <v>46272</v>
      </c>
      <c r="O125" s="117">
        <v>5.5</v>
      </c>
    </row>
    <row r="126" spans="1:16" ht="33" customHeight="1">
      <c r="A126" s="111">
        <v>2</v>
      </c>
      <c r="B126" s="111" t="s">
        <v>350</v>
      </c>
      <c r="C126" s="111" t="s">
        <v>290</v>
      </c>
      <c r="D126" s="112" t="s">
        <v>533</v>
      </c>
      <c r="E126" s="66" t="s">
        <v>455</v>
      </c>
      <c r="F126" s="113">
        <v>1</v>
      </c>
      <c r="G126" s="68" t="s">
        <v>22</v>
      </c>
      <c r="H126" s="112" t="s">
        <v>364</v>
      </c>
      <c r="I126" s="113" t="s">
        <v>24</v>
      </c>
      <c r="J126" s="112" t="s">
        <v>534</v>
      </c>
      <c r="K126" s="113" t="s">
        <v>366</v>
      </c>
      <c r="L126" s="114">
        <v>46277</v>
      </c>
      <c r="M126" s="115">
        <v>46276</v>
      </c>
      <c r="N126" s="116">
        <v>46277</v>
      </c>
      <c r="O126" s="117">
        <v>2.5</v>
      </c>
    </row>
    <row r="127" spans="1:16" ht="33" customHeight="1">
      <c r="A127" s="111">
        <v>2</v>
      </c>
      <c r="B127" s="111" t="s">
        <v>350</v>
      </c>
      <c r="C127" s="111" t="s">
        <v>294</v>
      </c>
      <c r="D127" s="112" t="s">
        <v>535</v>
      </c>
      <c r="E127" s="66" t="s">
        <v>536</v>
      </c>
      <c r="F127" s="113">
        <v>0.5</v>
      </c>
      <c r="G127" s="68" t="s">
        <v>22</v>
      </c>
      <c r="H127" s="112" t="s">
        <v>537</v>
      </c>
      <c r="I127" s="113" t="s">
        <v>24</v>
      </c>
      <c r="J127" s="112" t="s">
        <v>538</v>
      </c>
      <c r="K127" s="113" t="s">
        <v>371</v>
      </c>
      <c r="L127" s="114">
        <v>46278</v>
      </c>
      <c r="M127" s="115">
        <v>46278</v>
      </c>
      <c r="N127" s="116">
        <v>46278</v>
      </c>
      <c r="O127" s="117">
        <v>2</v>
      </c>
    </row>
    <row r="128" spans="1:16" ht="55.5" customHeight="1">
      <c r="A128" s="118">
        <v>3</v>
      </c>
      <c r="B128" s="118" t="s">
        <v>539</v>
      </c>
      <c r="C128" s="118" t="s">
        <v>19</v>
      </c>
      <c r="D128" s="119" t="s">
        <v>540</v>
      </c>
      <c r="E128" s="133" t="s">
        <v>21</v>
      </c>
      <c r="F128" s="120">
        <v>2</v>
      </c>
      <c r="G128" s="121" t="s">
        <v>541</v>
      </c>
      <c r="H128" s="119" t="s">
        <v>542</v>
      </c>
      <c r="I128" s="120" t="s">
        <v>24</v>
      </c>
      <c r="J128" s="119" t="s">
        <v>543</v>
      </c>
      <c r="K128" s="120" t="s">
        <v>26</v>
      </c>
      <c r="L128" s="122">
        <v>46281</v>
      </c>
      <c r="M128" s="138">
        <v>46280</v>
      </c>
      <c r="N128" s="123">
        <v>46281</v>
      </c>
      <c r="O128" s="124">
        <v>2.5</v>
      </c>
      <c r="P128" s="125"/>
    </row>
    <row r="129" spans="1:16" ht="33" customHeight="1">
      <c r="A129" s="118">
        <v>3</v>
      </c>
      <c r="B129" s="118" t="s">
        <v>539</v>
      </c>
      <c r="C129" s="118" t="s">
        <v>27</v>
      </c>
      <c r="D129" s="119" t="s">
        <v>544</v>
      </c>
      <c r="E129" s="133" t="s">
        <v>21</v>
      </c>
      <c r="F129" s="120">
        <v>1</v>
      </c>
      <c r="G129" s="121" t="s">
        <v>541</v>
      </c>
      <c r="H129" s="119" t="s">
        <v>545</v>
      </c>
      <c r="I129" s="120" t="s">
        <v>24</v>
      </c>
      <c r="J129" s="119" t="s">
        <v>546</v>
      </c>
      <c r="K129" s="120" t="s">
        <v>282</v>
      </c>
      <c r="L129" s="122">
        <v>46283</v>
      </c>
      <c r="M129" s="123">
        <v>46282</v>
      </c>
      <c r="N129" s="123">
        <v>46282</v>
      </c>
      <c r="O129" s="124">
        <v>1</v>
      </c>
      <c r="P129" s="125"/>
    </row>
    <row r="130" spans="1:16" ht="44.25" customHeight="1">
      <c r="A130" s="118">
        <v>3</v>
      </c>
      <c r="B130" s="118" t="s">
        <v>111</v>
      </c>
      <c r="C130" s="118" t="s">
        <v>75</v>
      </c>
      <c r="D130" s="119" t="s">
        <v>547</v>
      </c>
      <c r="E130" s="133" t="s">
        <v>114</v>
      </c>
      <c r="F130" s="120">
        <v>4</v>
      </c>
      <c r="G130" s="121" t="s">
        <v>541</v>
      </c>
      <c r="H130" s="119" t="s">
        <v>548</v>
      </c>
      <c r="I130" s="120" t="s">
        <v>549</v>
      </c>
      <c r="J130" s="119" t="s">
        <v>550</v>
      </c>
      <c r="K130" s="120" t="s">
        <v>97</v>
      </c>
      <c r="L130" s="122">
        <v>46285</v>
      </c>
      <c r="M130" s="123">
        <v>46281</v>
      </c>
      <c r="N130" s="123">
        <v>46284</v>
      </c>
      <c r="O130" s="124">
        <v>5</v>
      </c>
      <c r="P130" s="125"/>
    </row>
    <row r="131" spans="1:16" ht="44.25" customHeight="1">
      <c r="A131" s="118">
        <v>3</v>
      </c>
      <c r="B131" s="118" t="s">
        <v>111</v>
      </c>
      <c r="C131" s="118" t="s">
        <v>81</v>
      </c>
      <c r="D131" s="119" t="s">
        <v>551</v>
      </c>
      <c r="E131" s="133" t="s">
        <v>437</v>
      </c>
      <c r="F131" s="120">
        <v>4</v>
      </c>
      <c r="G131" s="121" t="s">
        <v>541</v>
      </c>
      <c r="H131" s="119" t="s">
        <v>552</v>
      </c>
      <c r="I131" s="120" t="s">
        <v>553</v>
      </c>
      <c r="J131" s="119" t="s">
        <v>554</v>
      </c>
      <c r="K131" s="120" t="s">
        <v>555</v>
      </c>
      <c r="L131" s="122">
        <v>46285</v>
      </c>
      <c r="M131" s="123">
        <v>46282</v>
      </c>
      <c r="N131" s="123">
        <v>46285</v>
      </c>
      <c r="O131" s="124">
        <v>5</v>
      </c>
      <c r="P131" s="125"/>
    </row>
    <row r="132" spans="1:16" ht="44.25" customHeight="1">
      <c r="A132" s="118">
        <v>3</v>
      </c>
      <c r="B132" s="118" t="s">
        <v>111</v>
      </c>
      <c r="C132" s="118" t="s">
        <v>88</v>
      </c>
      <c r="D132" s="119" t="s">
        <v>556</v>
      </c>
      <c r="E132" s="133" t="s">
        <v>433</v>
      </c>
      <c r="F132" s="120">
        <v>4</v>
      </c>
      <c r="G132" s="121" t="s">
        <v>541</v>
      </c>
      <c r="H132" s="119" t="s">
        <v>557</v>
      </c>
      <c r="I132" s="120" t="s">
        <v>558</v>
      </c>
      <c r="J132" s="119" t="s">
        <v>559</v>
      </c>
      <c r="K132" s="120" t="s">
        <v>97</v>
      </c>
      <c r="L132" s="122">
        <v>46289</v>
      </c>
      <c r="M132" s="123">
        <v>46286</v>
      </c>
      <c r="N132" s="123">
        <v>46288</v>
      </c>
      <c r="O132" s="124">
        <v>4</v>
      </c>
      <c r="P132" s="125"/>
    </row>
    <row r="133" spans="1:16" ht="44.25" customHeight="1">
      <c r="A133" s="118">
        <v>3</v>
      </c>
      <c r="B133" s="118" t="s">
        <v>111</v>
      </c>
      <c r="C133" s="118" t="s">
        <v>93</v>
      </c>
      <c r="D133" s="119" t="s">
        <v>560</v>
      </c>
      <c r="E133" s="133" t="s">
        <v>437</v>
      </c>
      <c r="F133" s="120">
        <v>3</v>
      </c>
      <c r="G133" s="121" t="s">
        <v>541</v>
      </c>
      <c r="H133" s="119" t="s">
        <v>561</v>
      </c>
      <c r="I133" s="120" t="s">
        <v>562</v>
      </c>
      <c r="J133" s="119" t="s">
        <v>563</v>
      </c>
      <c r="K133" s="120" t="s">
        <v>97</v>
      </c>
      <c r="L133" s="122">
        <v>46290</v>
      </c>
      <c r="M133" s="123">
        <v>46288</v>
      </c>
      <c r="N133" s="123">
        <v>46289</v>
      </c>
      <c r="O133" s="124">
        <v>2.5</v>
      </c>
      <c r="P133" s="125"/>
    </row>
    <row r="134" spans="1:16" ht="44.25" customHeight="1">
      <c r="A134" s="118">
        <v>3</v>
      </c>
      <c r="B134" s="118" t="s">
        <v>111</v>
      </c>
      <c r="C134" s="118" t="s">
        <v>98</v>
      </c>
      <c r="D134" s="119" t="s">
        <v>564</v>
      </c>
      <c r="E134" s="133" t="s">
        <v>442</v>
      </c>
      <c r="F134" s="120">
        <v>6</v>
      </c>
      <c r="G134" s="121" t="s">
        <v>541</v>
      </c>
      <c r="H134" s="119" t="s">
        <v>565</v>
      </c>
      <c r="I134" s="120" t="s">
        <v>566</v>
      </c>
      <c r="J134" s="119" t="s">
        <v>567</v>
      </c>
      <c r="K134" s="120" t="s">
        <v>97</v>
      </c>
      <c r="L134" s="122">
        <v>46291</v>
      </c>
      <c r="M134" s="123">
        <v>46286</v>
      </c>
      <c r="N134" s="123">
        <v>46290</v>
      </c>
      <c r="O134" s="124">
        <v>8</v>
      </c>
      <c r="P134" s="125"/>
    </row>
    <row r="135" spans="1:16" ht="44.25" customHeight="1">
      <c r="A135" s="118">
        <v>3</v>
      </c>
      <c r="B135" s="118" t="s">
        <v>111</v>
      </c>
      <c r="C135" s="118" t="s">
        <v>102</v>
      </c>
      <c r="D135" s="119" t="s">
        <v>568</v>
      </c>
      <c r="E135" s="133" t="s">
        <v>114</v>
      </c>
      <c r="F135" s="120">
        <v>3</v>
      </c>
      <c r="G135" s="121" t="s">
        <v>541</v>
      </c>
      <c r="H135" s="119" t="s">
        <v>569</v>
      </c>
      <c r="I135" s="120" t="s">
        <v>570</v>
      </c>
      <c r="J135" s="119" t="s">
        <v>571</v>
      </c>
      <c r="K135" s="120" t="s">
        <v>97</v>
      </c>
      <c r="L135" s="122">
        <v>46292</v>
      </c>
      <c r="M135" s="123">
        <v>46291</v>
      </c>
      <c r="N135" s="123">
        <v>46292</v>
      </c>
      <c r="O135" s="124">
        <v>4</v>
      </c>
      <c r="P135" s="125"/>
    </row>
    <row r="136" spans="1:16" ht="33" customHeight="1">
      <c r="A136" s="118">
        <v>3</v>
      </c>
      <c r="B136" s="118" t="s">
        <v>153</v>
      </c>
      <c r="C136" s="118" t="s">
        <v>112</v>
      </c>
      <c r="D136" s="119" t="s">
        <v>572</v>
      </c>
      <c r="E136" s="133" t="s">
        <v>114</v>
      </c>
      <c r="F136" s="120">
        <v>2</v>
      </c>
      <c r="G136" s="121" t="s">
        <v>541</v>
      </c>
      <c r="H136" s="119" t="s">
        <v>573</v>
      </c>
      <c r="I136" s="120" t="s">
        <v>549</v>
      </c>
      <c r="J136" s="119" t="s">
        <v>574</v>
      </c>
      <c r="K136" s="120" t="s">
        <v>158</v>
      </c>
      <c r="L136" s="122">
        <v>46289</v>
      </c>
      <c r="M136" s="123">
        <v>46287</v>
      </c>
      <c r="N136" s="123">
        <v>46287</v>
      </c>
      <c r="O136" s="124">
        <v>1.5</v>
      </c>
      <c r="P136" s="125"/>
    </row>
    <row r="137" spans="1:16" ht="33" customHeight="1">
      <c r="A137" s="118">
        <v>3</v>
      </c>
      <c r="B137" s="118" t="s">
        <v>153</v>
      </c>
      <c r="C137" s="118" t="s">
        <v>118</v>
      </c>
      <c r="D137" s="119" t="s">
        <v>575</v>
      </c>
      <c r="E137" s="133" t="s">
        <v>247</v>
      </c>
      <c r="F137" s="120">
        <v>3</v>
      </c>
      <c r="G137" s="121" t="s">
        <v>541</v>
      </c>
      <c r="H137" s="119" t="s">
        <v>576</v>
      </c>
      <c r="I137" s="120" t="s">
        <v>558</v>
      </c>
      <c r="J137" s="119" t="s">
        <v>577</v>
      </c>
      <c r="K137" s="120" t="s">
        <v>158</v>
      </c>
      <c r="L137" s="122">
        <v>46290</v>
      </c>
      <c r="M137" s="123">
        <v>46289</v>
      </c>
      <c r="N137" s="123">
        <v>46290</v>
      </c>
      <c r="O137" s="124">
        <v>3.5</v>
      </c>
      <c r="P137" s="125"/>
    </row>
    <row r="138" spans="1:16" ht="33" customHeight="1">
      <c r="A138" s="118">
        <v>3</v>
      </c>
      <c r="B138" s="118" t="s">
        <v>153</v>
      </c>
      <c r="C138" s="118" t="s">
        <v>123</v>
      </c>
      <c r="D138" s="119" t="s">
        <v>578</v>
      </c>
      <c r="E138" s="133" t="s">
        <v>437</v>
      </c>
      <c r="F138" s="120">
        <v>3</v>
      </c>
      <c r="G138" s="121" t="s">
        <v>541</v>
      </c>
      <c r="H138" s="119" t="s">
        <v>579</v>
      </c>
      <c r="I138" s="120" t="s">
        <v>562</v>
      </c>
      <c r="J138" s="119" t="s">
        <v>580</v>
      </c>
      <c r="K138" s="120" t="s">
        <v>158</v>
      </c>
      <c r="L138" s="122">
        <v>46291</v>
      </c>
      <c r="M138" s="123">
        <v>46290</v>
      </c>
      <c r="N138" s="123">
        <v>46291</v>
      </c>
      <c r="O138" s="124">
        <v>3.5</v>
      </c>
      <c r="P138" s="125"/>
    </row>
    <row r="139" spans="1:16" ht="33" customHeight="1">
      <c r="A139" s="118">
        <v>3</v>
      </c>
      <c r="B139" s="118" t="s">
        <v>153</v>
      </c>
      <c r="C139" s="118" t="s">
        <v>128</v>
      </c>
      <c r="D139" s="119" t="s">
        <v>581</v>
      </c>
      <c r="E139" s="133" t="s">
        <v>114</v>
      </c>
      <c r="F139" s="120">
        <v>4</v>
      </c>
      <c r="G139" s="121" t="s">
        <v>541</v>
      </c>
      <c r="H139" s="119" t="s">
        <v>582</v>
      </c>
      <c r="I139" s="120" t="s">
        <v>583</v>
      </c>
      <c r="J139" s="119" t="s">
        <v>584</v>
      </c>
      <c r="K139" s="120" t="s">
        <v>158</v>
      </c>
      <c r="L139" s="122">
        <v>46292</v>
      </c>
      <c r="M139" s="123">
        <v>46290</v>
      </c>
      <c r="N139" s="123">
        <v>46292</v>
      </c>
      <c r="O139" s="124">
        <v>4.5</v>
      </c>
      <c r="P139" s="125"/>
    </row>
    <row r="140" spans="1:16" ht="33" customHeight="1">
      <c r="A140" s="118">
        <v>3</v>
      </c>
      <c r="B140" s="118" t="s">
        <v>187</v>
      </c>
      <c r="C140" s="118" t="s">
        <v>154</v>
      </c>
      <c r="D140" s="119" t="s">
        <v>585</v>
      </c>
      <c r="E140" s="133" t="s">
        <v>114</v>
      </c>
      <c r="F140" s="120">
        <v>2</v>
      </c>
      <c r="G140" s="121" t="s">
        <v>541</v>
      </c>
      <c r="H140" s="119" t="s">
        <v>586</v>
      </c>
      <c r="I140" s="120" t="s">
        <v>549</v>
      </c>
      <c r="J140" s="119" t="s">
        <v>587</v>
      </c>
      <c r="K140" s="120" t="s">
        <v>97</v>
      </c>
      <c r="L140" s="122">
        <v>46294</v>
      </c>
      <c r="M140" s="123">
        <v>46293</v>
      </c>
      <c r="N140" s="123">
        <v>46293</v>
      </c>
      <c r="O140" s="124">
        <v>2</v>
      </c>
      <c r="P140" s="125"/>
    </row>
    <row r="141" spans="1:16" ht="33" customHeight="1">
      <c r="A141" s="118">
        <v>3</v>
      </c>
      <c r="B141" s="118" t="s">
        <v>187</v>
      </c>
      <c r="C141" s="118" t="s">
        <v>159</v>
      </c>
      <c r="D141" s="119" t="s">
        <v>588</v>
      </c>
      <c r="E141" s="133" t="s">
        <v>247</v>
      </c>
      <c r="F141" s="120">
        <v>2</v>
      </c>
      <c r="G141" s="121" t="s">
        <v>541</v>
      </c>
      <c r="H141" s="119" t="s">
        <v>589</v>
      </c>
      <c r="I141" s="120" t="s">
        <v>558</v>
      </c>
      <c r="J141" s="119" t="s">
        <v>590</v>
      </c>
      <c r="K141" s="120" t="s">
        <v>97</v>
      </c>
      <c r="L141" s="122">
        <v>46295</v>
      </c>
      <c r="M141" s="123">
        <v>46294</v>
      </c>
      <c r="N141" s="123">
        <v>46294</v>
      </c>
      <c r="O141" s="124">
        <v>2</v>
      </c>
      <c r="P141" s="125"/>
    </row>
    <row r="142" spans="1:16" ht="33" customHeight="1">
      <c r="A142" s="118">
        <v>3</v>
      </c>
      <c r="B142" s="118" t="s">
        <v>187</v>
      </c>
      <c r="C142" s="118" t="s">
        <v>163</v>
      </c>
      <c r="D142" s="119" t="s">
        <v>591</v>
      </c>
      <c r="E142" s="133" t="s">
        <v>442</v>
      </c>
      <c r="F142" s="120">
        <v>2</v>
      </c>
      <c r="G142" s="121" t="s">
        <v>541</v>
      </c>
      <c r="H142" s="119" t="s">
        <v>592</v>
      </c>
      <c r="I142" s="120" t="s">
        <v>562</v>
      </c>
      <c r="J142" s="119" t="s">
        <v>593</v>
      </c>
      <c r="K142" s="120" t="s">
        <v>97</v>
      </c>
      <c r="L142" s="122">
        <v>46296</v>
      </c>
      <c r="M142" s="123">
        <v>46295</v>
      </c>
      <c r="N142" s="123">
        <v>46295</v>
      </c>
      <c r="O142" s="124">
        <v>2</v>
      </c>
      <c r="P142" s="125"/>
    </row>
    <row r="143" spans="1:16" ht="33" customHeight="1">
      <c r="A143" s="118">
        <v>3</v>
      </c>
      <c r="B143" s="118" t="s">
        <v>187</v>
      </c>
      <c r="C143" s="118" t="s">
        <v>168</v>
      </c>
      <c r="D143" s="119" t="s">
        <v>594</v>
      </c>
      <c r="E143" s="133" t="s">
        <v>114</v>
      </c>
      <c r="F143" s="120">
        <v>3</v>
      </c>
      <c r="G143" s="121" t="s">
        <v>541</v>
      </c>
      <c r="H143" s="119" t="s">
        <v>595</v>
      </c>
      <c r="I143" s="120" t="s">
        <v>583</v>
      </c>
      <c r="J143" s="119" t="s">
        <v>596</v>
      </c>
      <c r="K143" s="120" t="s">
        <v>97</v>
      </c>
      <c r="L143" s="122">
        <v>46297</v>
      </c>
      <c r="M143" s="123">
        <v>46295</v>
      </c>
      <c r="N143" s="123">
        <v>46296</v>
      </c>
      <c r="O143" s="124">
        <v>2.5</v>
      </c>
      <c r="P143" s="125"/>
    </row>
    <row r="144" spans="1:16" ht="44.25" customHeight="1">
      <c r="A144" s="118">
        <v>3</v>
      </c>
      <c r="B144" s="118" t="s">
        <v>219</v>
      </c>
      <c r="C144" s="118" t="s">
        <v>188</v>
      </c>
      <c r="D144" s="119" t="s">
        <v>597</v>
      </c>
      <c r="E144" s="133" t="s">
        <v>433</v>
      </c>
      <c r="F144" s="120">
        <v>3</v>
      </c>
      <c r="G144" s="121" t="s">
        <v>541</v>
      </c>
      <c r="H144" s="119" t="s">
        <v>598</v>
      </c>
      <c r="I144" s="120" t="s">
        <v>24</v>
      </c>
      <c r="J144" s="119" t="s">
        <v>599</v>
      </c>
      <c r="K144" s="120" t="s">
        <v>49</v>
      </c>
      <c r="L144" s="122">
        <v>46298</v>
      </c>
      <c r="M144" s="123">
        <v>46297</v>
      </c>
      <c r="N144" s="123">
        <v>46298</v>
      </c>
      <c r="O144" s="124">
        <v>2.5</v>
      </c>
      <c r="P144" s="125"/>
    </row>
    <row r="145" spans="1:16" ht="33" customHeight="1">
      <c r="A145" s="118">
        <v>3</v>
      </c>
      <c r="B145" s="118" t="s">
        <v>219</v>
      </c>
      <c r="C145" s="118" t="s">
        <v>192</v>
      </c>
      <c r="D145" s="119" t="s">
        <v>600</v>
      </c>
      <c r="E145" s="133" t="s">
        <v>437</v>
      </c>
      <c r="F145" s="120">
        <v>2</v>
      </c>
      <c r="G145" s="121" t="s">
        <v>541</v>
      </c>
      <c r="H145" s="119" t="s">
        <v>438</v>
      </c>
      <c r="I145" s="120" t="s">
        <v>601</v>
      </c>
      <c r="J145" s="119" t="s">
        <v>602</v>
      </c>
      <c r="K145" s="120" t="s">
        <v>49</v>
      </c>
      <c r="L145" s="122">
        <v>46294</v>
      </c>
      <c r="M145" s="123">
        <v>46294</v>
      </c>
      <c r="N145" s="123">
        <v>46294</v>
      </c>
      <c r="O145" s="124">
        <v>2</v>
      </c>
      <c r="P145" s="125"/>
    </row>
    <row r="146" spans="1:16" ht="22.5" customHeight="1">
      <c r="A146" s="118">
        <v>3</v>
      </c>
      <c r="B146" s="118" t="s">
        <v>219</v>
      </c>
      <c r="C146" s="118" t="s">
        <v>196</v>
      </c>
      <c r="D146" s="119" t="s">
        <v>603</v>
      </c>
      <c r="E146" s="133" t="s">
        <v>442</v>
      </c>
      <c r="F146" s="120">
        <v>2</v>
      </c>
      <c r="G146" s="121" t="s">
        <v>541</v>
      </c>
      <c r="H146" s="119" t="s">
        <v>443</v>
      </c>
      <c r="I146" s="120" t="s">
        <v>558</v>
      </c>
      <c r="J146" s="119" t="s">
        <v>604</v>
      </c>
      <c r="K146" s="120" t="s">
        <v>49</v>
      </c>
      <c r="L146" s="122">
        <v>46295</v>
      </c>
      <c r="M146" s="123">
        <v>46295</v>
      </c>
      <c r="N146" s="123">
        <v>46295</v>
      </c>
      <c r="O146" s="124">
        <v>2</v>
      </c>
      <c r="P146" s="125"/>
    </row>
    <row r="147" spans="1:16" ht="22.5" customHeight="1">
      <c r="A147" s="118">
        <v>3</v>
      </c>
      <c r="B147" s="118" t="s">
        <v>219</v>
      </c>
      <c r="C147" s="118" t="s">
        <v>201</v>
      </c>
      <c r="D147" s="119" t="s">
        <v>605</v>
      </c>
      <c r="E147" s="133" t="s">
        <v>433</v>
      </c>
      <c r="F147" s="120">
        <v>2</v>
      </c>
      <c r="G147" s="121" t="s">
        <v>541</v>
      </c>
      <c r="H147" s="119" t="s">
        <v>443</v>
      </c>
      <c r="I147" s="120" t="s">
        <v>562</v>
      </c>
      <c r="J147" s="119" t="s">
        <v>606</v>
      </c>
      <c r="K147" s="120" t="s">
        <v>49</v>
      </c>
      <c r="L147" s="122">
        <v>46296</v>
      </c>
      <c r="M147" s="123">
        <v>46295</v>
      </c>
      <c r="N147" s="123">
        <v>46296</v>
      </c>
      <c r="O147" s="124">
        <v>3</v>
      </c>
      <c r="P147" s="125"/>
    </row>
    <row r="148" spans="1:16" ht="33" customHeight="1">
      <c r="A148" s="118">
        <v>3</v>
      </c>
      <c r="B148" s="118" t="s">
        <v>219</v>
      </c>
      <c r="C148" s="118" t="s">
        <v>206</v>
      </c>
      <c r="D148" s="119" t="s">
        <v>607</v>
      </c>
      <c r="E148" s="133" t="s">
        <v>433</v>
      </c>
      <c r="F148" s="120">
        <v>2</v>
      </c>
      <c r="G148" s="121" t="s">
        <v>541</v>
      </c>
      <c r="H148" s="119" t="s">
        <v>608</v>
      </c>
      <c r="I148" s="120" t="s">
        <v>583</v>
      </c>
      <c r="J148" s="119" t="s">
        <v>609</v>
      </c>
      <c r="K148" s="120" t="s">
        <v>49</v>
      </c>
      <c r="L148" s="122">
        <v>46297</v>
      </c>
      <c r="M148" s="123">
        <v>46296</v>
      </c>
      <c r="N148" s="123">
        <v>46297</v>
      </c>
      <c r="O148" s="124">
        <v>3</v>
      </c>
      <c r="P148" s="125"/>
    </row>
    <row r="149" spans="1:16" ht="44.25" customHeight="1">
      <c r="A149" s="118">
        <v>3</v>
      </c>
      <c r="B149" s="118" t="s">
        <v>219</v>
      </c>
      <c r="C149" s="118" t="s">
        <v>210</v>
      </c>
      <c r="D149" s="119" t="s">
        <v>610</v>
      </c>
      <c r="E149" s="133" t="s">
        <v>433</v>
      </c>
      <c r="F149" s="120">
        <v>2</v>
      </c>
      <c r="G149" s="121" t="s">
        <v>541</v>
      </c>
      <c r="H149" s="119" t="s">
        <v>611</v>
      </c>
      <c r="I149" s="120" t="s">
        <v>24</v>
      </c>
      <c r="J149" s="119" t="s">
        <v>612</v>
      </c>
      <c r="K149" s="120" t="s">
        <v>453</v>
      </c>
      <c r="L149" s="122">
        <v>46299</v>
      </c>
      <c r="M149" s="123">
        <v>46298</v>
      </c>
      <c r="N149" s="123">
        <v>46299</v>
      </c>
      <c r="O149" s="124">
        <v>2.5</v>
      </c>
      <c r="P149" s="125"/>
    </row>
    <row r="150" spans="1:16" ht="44.25" customHeight="1">
      <c r="A150" s="118">
        <v>3</v>
      </c>
      <c r="B150" s="118" t="s">
        <v>255</v>
      </c>
      <c r="C150" s="118" t="s">
        <v>220</v>
      </c>
      <c r="D150" s="119" t="s">
        <v>613</v>
      </c>
      <c r="E150" s="133" t="s">
        <v>21</v>
      </c>
      <c r="F150" s="120">
        <v>1</v>
      </c>
      <c r="G150" s="121" t="s">
        <v>541</v>
      </c>
      <c r="H150" s="119" t="s">
        <v>614</v>
      </c>
      <c r="I150" s="120" t="s">
        <v>615</v>
      </c>
      <c r="J150" s="119" t="s">
        <v>616</v>
      </c>
      <c r="K150" s="120" t="s">
        <v>260</v>
      </c>
      <c r="L150" s="122">
        <v>46282</v>
      </c>
      <c r="M150" s="123">
        <v>46279</v>
      </c>
      <c r="N150" s="123">
        <v>46279</v>
      </c>
      <c r="O150" s="124">
        <v>1</v>
      </c>
      <c r="P150" s="125"/>
    </row>
    <row r="151" spans="1:16" ht="33" customHeight="1">
      <c r="A151" s="118">
        <v>3</v>
      </c>
      <c r="B151" s="118" t="s">
        <v>255</v>
      </c>
      <c r="C151" s="118" t="s">
        <v>225</v>
      </c>
      <c r="D151" s="119" t="s">
        <v>617</v>
      </c>
      <c r="E151" s="133" t="s">
        <v>505</v>
      </c>
      <c r="F151" s="120">
        <v>3</v>
      </c>
      <c r="G151" s="121" t="s">
        <v>541</v>
      </c>
      <c r="H151" s="119" t="s">
        <v>618</v>
      </c>
      <c r="I151" s="120" t="s">
        <v>24</v>
      </c>
      <c r="J151" s="119" t="s">
        <v>460</v>
      </c>
      <c r="K151" s="120" t="s">
        <v>260</v>
      </c>
      <c r="L151" s="122">
        <v>46284</v>
      </c>
      <c r="M151" s="123">
        <v>46279</v>
      </c>
      <c r="N151" s="123">
        <v>46281</v>
      </c>
      <c r="O151" s="124">
        <v>3.5</v>
      </c>
      <c r="P151" s="125"/>
    </row>
    <row r="152" spans="1:16" ht="33" customHeight="1">
      <c r="A152" s="118">
        <v>3</v>
      </c>
      <c r="B152" s="118" t="s">
        <v>255</v>
      </c>
      <c r="C152" s="118" t="s">
        <v>230</v>
      </c>
      <c r="D152" s="119" t="s">
        <v>619</v>
      </c>
      <c r="E152" s="133" t="s">
        <v>247</v>
      </c>
      <c r="F152" s="120">
        <v>3</v>
      </c>
      <c r="G152" s="121" t="s">
        <v>541</v>
      </c>
      <c r="H152" s="119" t="s">
        <v>462</v>
      </c>
      <c r="I152" s="120" t="s">
        <v>24</v>
      </c>
      <c r="J152" s="119" t="s">
        <v>463</v>
      </c>
      <c r="K152" s="120" t="s">
        <v>26</v>
      </c>
      <c r="L152" s="122">
        <v>46299</v>
      </c>
      <c r="M152" s="123">
        <v>46280</v>
      </c>
      <c r="N152" s="123">
        <v>46299</v>
      </c>
      <c r="O152" s="124">
        <v>3.5</v>
      </c>
      <c r="P152" s="125"/>
    </row>
    <row r="153" spans="1:16" ht="33" customHeight="1">
      <c r="A153" s="118">
        <v>3</v>
      </c>
      <c r="B153" s="118" t="s">
        <v>255</v>
      </c>
      <c r="C153" s="118" t="s">
        <v>234</v>
      </c>
      <c r="D153" s="119" t="s">
        <v>620</v>
      </c>
      <c r="E153" s="133" t="s">
        <v>442</v>
      </c>
      <c r="F153" s="120">
        <v>2</v>
      </c>
      <c r="G153" s="121" t="s">
        <v>541</v>
      </c>
      <c r="H153" s="119" t="s">
        <v>465</v>
      </c>
      <c r="I153" s="120" t="s">
        <v>24</v>
      </c>
      <c r="J153" s="119" t="s">
        <v>621</v>
      </c>
      <c r="K153" s="120" t="s">
        <v>26</v>
      </c>
      <c r="L153" s="123">
        <v>46299</v>
      </c>
      <c r="M153" s="123">
        <v>46298</v>
      </c>
      <c r="N153" s="123">
        <v>46299</v>
      </c>
      <c r="O153" s="124">
        <v>2</v>
      </c>
      <c r="P153" s="125"/>
    </row>
    <row r="154" spans="1:16" ht="22.5" customHeight="1">
      <c r="A154" s="118">
        <v>3</v>
      </c>
      <c r="B154" s="118" t="s">
        <v>255</v>
      </c>
      <c r="C154" s="118" t="s">
        <v>238</v>
      </c>
      <c r="D154" s="119" t="s">
        <v>622</v>
      </c>
      <c r="E154" s="133" t="s">
        <v>247</v>
      </c>
      <c r="F154" s="120">
        <v>1</v>
      </c>
      <c r="G154" s="121" t="s">
        <v>541</v>
      </c>
      <c r="H154" s="119" t="s">
        <v>468</v>
      </c>
      <c r="I154" s="120" t="s">
        <v>24</v>
      </c>
      <c r="J154" s="119" t="s">
        <v>623</v>
      </c>
      <c r="K154" s="120" t="s">
        <v>26</v>
      </c>
      <c r="L154" s="123">
        <v>46299</v>
      </c>
      <c r="M154" s="123">
        <v>46298</v>
      </c>
      <c r="N154" s="123">
        <v>46299</v>
      </c>
      <c r="O154" s="124">
        <v>2</v>
      </c>
      <c r="P154" s="125"/>
    </row>
    <row r="155" spans="1:16" ht="44.25" customHeight="1">
      <c r="A155" s="118">
        <v>3</v>
      </c>
      <c r="B155" s="118" t="s">
        <v>277</v>
      </c>
      <c r="C155" s="118" t="s">
        <v>256</v>
      </c>
      <c r="D155" s="119" t="s">
        <v>624</v>
      </c>
      <c r="E155" s="133" t="s">
        <v>505</v>
      </c>
      <c r="F155" s="120">
        <v>3</v>
      </c>
      <c r="G155" s="121" t="s">
        <v>541</v>
      </c>
      <c r="H155" s="119" t="s">
        <v>625</v>
      </c>
      <c r="I155" s="120" t="s">
        <v>601</v>
      </c>
      <c r="J155" s="119" t="s">
        <v>626</v>
      </c>
      <c r="K155" s="120" t="s">
        <v>473</v>
      </c>
      <c r="L155" s="123">
        <v>46299</v>
      </c>
      <c r="M155" s="123">
        <v>46298</v>
      </c>
      <c r="N155" s="123">
        <v>46299</v>
      </c>
      <c r="O155" s="124">
        <v>4</v>
      </c>
      <c r="P155" s="125"/>
    </row>
    <row r="156" spans="1:16" ht="44.25" customHeight="1">
      <c r="A156" s="118">
        <v>3</v>
      </c>
      <c r="B156" s="118" t="s">
        <v>277</v>
      </c>
      <c r="C156" s="118" t="s">
        <v>261</v>
      </c>
      <c r="D156" s="119" t="s">
        <v>627</v>
      </c>
      <c r="E156" s="133" t="s">
        <v>505</v>
      </c>
      <c r="F156" s="120">
        <v>3</v>
      </c>
      <c r="G156" s="121" t="s">
        <v>541</v>
      </c>
      <c r="H156" s="119" t="s">
        <v>628</v>
      </c>
      <c r="I156" s="120" t="s">
        <v>558</v>
      </c>
      <c r="J156" s="119" t="s">
        <v>629</v>
      </c>
      <c r="K156" s="120" t="s">
        <v>473</v>
      </c>
      <c r="L156" s="123">
        <v>46299</v>
      </c>
      <c r="M156" s="123">
        <v>46298</v>
      </c>
      <c r="N156" s="123">
        <v>46299</v>
      </c>
      <c r="O156" s="124">
        <v>3.5</v>
      </c>
      <c r="P156" s="125"/>
    </row>
    <row r="157" spans="1:16" ht="33" customHeight="1">
      <c r="A157" s="118">
        <v>3</v>
      </c>
      <c r="B157" s="118" t="s">
        <v>277</v>
      </c>
      <c r="C157" s="118" t="s">
        <v>265</v>
      </c>
      <c r="D157" s="119" t="s">
        <v>630</v>
      </c>
      <c r="E157" s="133" t="s">
        <v>433</v>
      </c>
      <c r="F157" s="120">
        <v>3</v>
      </c>
      <c r="G157" s="121" t="s">
        <v>541</v>
      </c>
      <c r="H157" s="119" t="s">
        <v>631</v>
      </c>
      <c r="I157" s="120" t="s">
        <v>562</v>
      </c>
      <c r="J157" s="119" t="s">
        <v>632</v>
      </c>
      <c r="K157" s="120" t="s">
        <v>473</v>
      </c>
      <c r="L157" s="123">
        <v>46299</v>
      </c>
      <c r="M157" s="123">
        <v>46298</v>
      </c>
      <c r="N157" s="123">
        <v>46299</v>
      </c>
      <c r="O157" s="124">
        <v>4</v>
      </c>
      <c r="P157" s="125"/>
    </row>
    <row r="158" spans="1:16" ht="44.25" customHeight="1">
      <c r="A158" s="118">
        <v>3</v>
      </c>
      <c r="B158" s="118" t="s">
        <v>277</v>
      </c>
      <c r="C158" s="118" t="s">
        <v>269</v>
      </c>
      <c r="D158" s="119" t="s">
        <v>633</v>
      </c>
      <c r="E158" s="133" t="s">
        <v>247</v>
      </c>
      <c r="F158" s="120">
        <v>4</v>
      </c>
      <c r="G158" s="121" t="s">
        <v>541</v>
      </c>
      <c r="H158" s="119" t="s">
        <v>634</v>
      </c>
      <c r="I158" s="120" t="s">
        <v>583</v>
      </c>
      <c r="J158" s="119" t="s">
        <v>635</v>
      </c>
      <c r="K158" s="120" t="s">
        <v>473</v>
      </c>
      <c r="L158" s="123">
        <v>46299</v>
      </c>
      <c r="M158" s="123">
        <v>46298</v>
      </c>
      <c r="N158" s="123">
        <v>46299</v>
      </c>
      <c r="O158" s="124">
        <v>4.5</v>
      </c>
      <c r="P158" s="125"/>
    </row>
    <row r="159" spans="1:16" ht="33" customHeight="1">
      <c r="A159" s="118">
        <v>3</v>
      </c>
      <c r="B159" s="118" t="s">
        <v>277</v>
      </c>
      <c r="C159" s="118" t="s">
        <v>273</v>
      </c>
      <c r="D159" s="119" t="s">
        <v>636</v>
      </c>
      <c r="E159" s="133" t="s">
        <v>505</v>
      </c>
      <c r="F159" s="120">
        <v>2</v>
      </c>
      <c r="G159" s="121" t="s">
        <v>541</v>
      </c>
      <c r="H159" s="119" t="s">
        <v>637</v>
      </c>
      <c r="I159" s="120" t="s">
        <v>24</v>
      </c>
      <c r="J159" s="119" t="s">
        <v>638</v>
      </c>
      <c r="K159" s="120" t="s">
        <v>26</v>
      </c>
      <c r="L159" s="123">
        <v>46299</v>
      </c>
      <c r="M159" s="123">
        <v>46298</v>
      </c>
      <c r="N159" s="123">
        <v>46299</v>
      </c>
      <c r="O159" s="124">
        <v>2</v>
      </c>
      <c r="P159" s="125"/>
    </row>
    <row r="160" spans="1:16" ht="44.25" customHeight="1">
      <c r="A160" s="118">
        <v>3</v>
      </c>
      <c r="B160" s="118" t="s">
        <v>306</v>
      </c>
      <c r="C160" s="118" t="s">
        <v>278</v>
      </c>
      <c r="D160" s="119" t="s">
        <v>639</v>
      </c>
      <c r="E160" s="133" t="s">
        <v>21</v>
      </c>
      <c r="F160" s="120">
        <v>4</v>
      </c>
      <c r="G160" s="121" t="s">
        <v>541</v>
      </c>
      <c r="H160" s="119" t="s">
        <v>640</v>
      </c>
      <c r="I160" s="120" t="s">
        <v>24</v>
      </c>
      <c r="J160" s="119" t="s">
        <v>641</v>
      </c>
      <c r="K160" s="120" t="s">
        <v>26</v>
      </c>
      <c r="L160" s="123">
        <v>46299</v>
      </c>
      <c r="M160" s="123">
        <v>46298</v>
      </c>
      <c r="N160" s="123">
        <v>46299</v>
      </c>
      <c r="O160" s="124">
        <v>4</v>
      </c>
      <c r="P160" s="125"/>
    </row>
    <row r="161" spans="1:16" ht="33" customHeight="1">
      <c r="A161" s="118">
        <v>3</v>
      </c>
      <c r="B161" s="118" t="s">
        <v>306</v>
      </c>
      <c r="C161" s="118" t="s">
        <v>283</v>
      </c>
      <c r="D161" s="119" t="s">
        <v>642</v>
      </c>
      <c r="E161" s="133" t="s">
        <v>21</v>
      </c>
      <c r="F161" s="120">
        <v>2</v>
      </c>
      <c r="G161" s="121" t="s">
        <v>541</v>
      </c>
      <c r="H161" s="119" t="s">
        <v>494</v>
      </c>
      <c r="I161" s="120" t="s">
        <v>24</v>
      </c>
      <c r="J161" s="119" t="s">
        <v>643</v>
      </c>
      <c r="K161" s="120" t="s">
        <v>26</v>
      </c>
      <c r="L161" s="123">
        <v>46299</v>
      </c>
      <c r="M161" s="123">
        <v>46298</v>
      </c>
      <c r="N161" s="123">
        <v>46299</v>
      </c>
      <c r="O161" s="124">
        <v>2.5</v>
      </c>
      <c r="P161" s="125"/>
    </row>
    <row r="162" spans="1:16" ht="33" customHeight="1">
      <c r="A162" s="118">
        <v>3</v>
      </c>
      <c r="B162" s="118" t="s">
        <v>306</v>
      </c>
      <c r="C162" s="118" t="s">
        <v>286</v>
      </c>
      <c r="D162" s="119" t="s">
        <v>644</v>
      </c>
      <c r="E162" s="133" t="s">
        <v>21</v>
      </c>
      <c r="F162" s="120">
        <v>1</v>
      </c>
      <c r="G162" s="121" t="s">
        <v>541</v>
      </c>
      <c r="H162" s="119" t="s">
        <v>317</v>
      </c>
      <c r="I162" s="120" t="s">
        <v>24</v>
      </c>
      <c r="J162" s="119" t="s">
        <v>318</v>
      </c>
      <c r="K162" s="120" t="s">
        <v>26</v>
      </c>
      <c r="L162" s="123">
        <v>46299</v>
      </c>
      <c r="M162" s="123">
        <v>46298</v>
      </c>
      <c r="N162" s="123">
        <v>46299</v>
      </c>
      <c r="O162" s="124">
        <v>2</v>
      </c>
      <c r="P162" s="125"/>
    </row>
    <row r="163" spans="1:16" ht="33" customHeight="1">
      <c r="A163" s="118">
        <v>3</v>
      </c>
      <c r="B163" s="118" t="s">
        <v>306</v>
      </c>
      <c r="C163" s="118" t="s">
        <v>290</v>
      </c>
      <c r="D163" s="119" t="s">
        <v>645</v>
      </c>
      <c r="E163" s="133" t="s">
        <v>442</v>
      </c>
      <c r="F163" s="120">
        <v>2</v>
      </c>
      <c r="G163" s="121" t="s">
        <v>541</v>
      </c>
      <c r="H163" s="119" t="s">
        <v>498</v>
      </c>
      <c r="I163" s="120" t="s">
        <v>24</v>
      </c>
      <c r="J163" s="119" t="s">
        <v>646</v>
      </c>
      <c r="K163" s="120" t="s">
        <v>327</v>
      </c>
      <c r="L163" s="123">
        <v>46299</v>
      </c>
      <c r="M163" s="123">
        <v>46298</v>
      </c>
      <c r="N163" s="123">
        <v>46299</v>
      </c>
      <c r="O163" s="124">
        <v>2</v>
      </c>
      <c r="P163" s="125"/>
    </row>
    <row r="164" spans="1:16" ht="33" customHeight="1">
      <c r="A164" s="118">
        <v>3</v>
      </c>
      <c r="B164" s="118" t="s">
        <v>306</v>
      </c>
      <c r="C164" s="118" t="s">
        <v>294</v>
      </c>
      <c r="D164" s="119" t="s">
        <v>647</v>
      </c>
      <c r="E164" s="133" t="s">
        <v>21</v>
      </c>
      <c r="F164" s="120">
        <v>3</v>
      </c>
      <c r="G164" s="121" t="s">
        <v>541</v>
      </c>
      <c r="H164" s="119" t="s">
        <v>501</v>
      </c>
      <c r="I164" s="120" t="s">
        <v>24</v>
      </c>
      <c r="J164" s="119" t="s">
        <v>648</v>
      </c>
      <c r="K164" s="120" t="s">
        <v>335</v>
      </c>
      <c r="L164" s="123">
        <v>46299</v>
      </c>
      <c r="M164" s="123">
        <v>46298</v>
      </c>
      <c r="N164" s="123">
        <v>46299</v>
      </c>
      <c r="O164" s="124">
        <v>2.5</v>
      </c>
      <c r="P164" s="125"/>
    </row>
    <row r="165" spans="1:16" ht="33" customHeight="1">
      <c r="A165" s="118">
        <v>3</v>
      </c>
      <c r="B165" s="118" t="s">
        <v>306</v>
      </c>
      <c r="C165" s="118" t="s">
        <v>298</v>
      </c>
      <c r="D165" s="119" t="s">
        <v>649</v>
      </c>
      <c r="E165" s="133" t="s">
        <v>505</v>
      </c>
      <c r="F165" s="120">
        <v>1</v>
      </c>
      <c r="G165" s="121" t="s">
        <v>541</v>
      </c>
      <c r="H165" s="119" t="s">
        <v>510</v>
      </c>
      <c r="I165" s="120" t="s">
        <v>24</v>
      </c>
      <c r="J165" s="119" t="s">
        <v>343</v>
      </c>
      <c r="K165" s="120" t="s">
        <v>344</v>
      </c>
      <c r="L165" s="123">
        <v>46299</v>
      </c>
      <c r="M165" s="123">
        <v>46298</v>
      </c>
      <c r="N165" s="123">
        <v>46299</v>
      </c>
      <c r="O165" s="124">
        <v>1</v>
      </c>
      <c r="P165" s="125"/>
    </row>
    <row r="166" spans="1:16" ht="33" customHeight="1">
      <c r="A166" s="118">
        <v>3</v>
      </c>
      <c r="B166" s="118" t="s">
        <v>306</v>
      </c>
      <c r="C166" s="118" t="s">
        <v>302</v>
      </c>
      <c r="D166" s="119" t="s">
        <v>650</v>
      </c>
      <c r="E166" s="133" t="s">
        <v>437</v>
      </c>
      <c r="F166" s="120">
        <v>1</v>
      </c>
      <c r="G166" s="121" t="s">
        <v>541</v>
      </c>
      <c r="H166" s="119" t="s">
        <v>513</v>
      </c>
      <c r="I166" s="120" t="s">
        <v>24</v>
      </c>
      <c r="J166" s="119" t="s">
        <v>651</v>
      </c>
      <c r="K166" s="120" t="s">
        <v>349</v>
      </c>
      <c r="L166" s="123">
        <v>46299</v>
      </c>
      <c r="M166" s="123">
        <v>46298</v>
      </c>
      <c r="N166" s="123">
        <v>46299</v>
      </c>
      <c r="O166" s="124">
        <v>1</v>
      </c>
      <c r="P166" s="125"/>
    </row>
    <row r="167" spans="1:16" ht="44.25" customHeight="1">
      <c r="A167" s="118">
        <v>3</v>
      </c>
      <c r="B167" s="118" t="s">
        <v>306</v>
      </c>
      <c r="C167" s="118" t="s">
        <v>652</v>
      </c>
      <c r="D167" s="119" t="s">
        <v>653</v>
      </c>
      <c r="E167" s="133" t="s">
        <v>505</v>
      </c>
      <c r="F167" s="120">
        <v>1</v>
      </c>
      <c r="G167" s="121" t="s">
        <v>541</v>
      </c>
      <c r="H167" s="119" t="s">
        <v>654</v>
      </c>
      <c r="I167" s="120" t="s">
        <v>24</v>
      </c>
      <c r="J167" s="119" t="s">
        <v>655</v>
      </c>
      <c r="K167" s="120" t="s">
        <v>519</v>
      </c>
      <c r="L167" s="123">
        <v>46299</v>
      </c>
      <c r="M167" s="123">
        <v>46298</v>
      </c>
      <c r="N167" s="123">
        <v>46299</v>
      </c>
      <c r="O167" s="124">
        <v>1.5</v>
      </c>
      <c r="P167" s="125"/>
    </row>
    <row r="168" spans="1:16" ht="33" customHeight="1">
      <c r="A168" s="118">
        <v>3</v>
      </c>
      <c r="B168" s="118" t="s">
        <v>306</v>
      </c>
      <c r="C168" s="118" t="s">
        <v>656</v>
      </c>
      <c r="D168" s="119" t="s">
        <v>657</v>
      </c>
      <c r="E168" s="133" t="s">
        <v>505</v>
      </c>
      <c r="F168" s="120">
        <v>1</v>
      </c>
      <c r="G168" s="121" t="s">
        <v>541</v>
      </c>
      <c r="H168" s="119" t="s">
        <v>523</v>
      </c>
      <c r="I168" s="120" t="s">
        <v>24</v>
      </c>
      <c r="J168" s="119" t="s">
        <v>524</v>
      </c>
      <c r="K168" s="120" t="s">
        <v>327</v>
      </c>
      <c r="L168" s="123">
        <v>46299</v>
      </c>
      <c r="M168" s="123">
        <v>46298</v>
      </c>
      <c r="N168" s="123">
        <v>46299</v>
      </c>
      <c r="O168" s="124">
        <v>1.5</v>
      </c>
      <c r="P168" s="125"/>
    </row>
    <row r="169" spans="1:16" ht="22.5" customHeight="1">
      <c r="A169" s="118">
        <v>3</v>
      </c>
      <c r="B169" s="118" t="s">
        <v>350</v>
      </c>
      <c r="C169" s="118" t="s">
        <v>307</v>
      </c>
      <c r="D169" s="119" t="s">
        <v>658</v>
      </c>
      <c r="E169" s="133" t="s">
        <v>247</v>
      </c>
      <c r="F169" s="120">
        <v>1</v>
      </c>
      <c r="G169" s="121" t="s">
        <v>541</v>
      </c>
      <c r="H169" s="119" t="s">
        <v>353</v>
      </c>
      <c r="I169" s="120" t="s">
        <v>24</v>
      </c>
      <c r="J169" s="119" t="s">
        <v>526</v>
      </c>
      <c r="K169" s="120" t="s">
        <v>26</v>
      </c>
      <c r="L169" s="123">
        <v>46283</v>
      </c>
      <c r="M169" s="123">
        <v>46283</v>
      </c>
      <c r="N169" s="123">
        <v>46283</v>
      </c>
      <c r="O169" s="124">
        <v>1</v>
      </c>
      <c r="P169" s="125"/>
    </row>
    <row r="170" spans="1:16" ht="44.25" customHeight="1">
      <c r="A170" s="118">
        <v>3</v>
      </c>
      <c r="B170" s="118" t="s">
        <v>350</v>
      </c>
      <c r="C170" s="118" t="s">
        <v>311</v>
      </c>
      <c r="D170" s="119" t="s">
        <v>659</v>
      </c>
      <c r="E170" s="133" t="s">
        <v>437</v>
      </c>
      <c r="F170" s="120">
        <v>1</v>
      </c>
      <c r="G170" s="121" t="s">
        <v>541</v>
      </c>
      <c r="H170" s="119" t="s">
        <v>660</v>
      </c>
      <c r="I170" s="120" t="s">
        <v>24</v>
      </c>
      <c r="J170" s="119" t="s">
        <v>661</v>
      </c>
      <c r="K170" s="120" t="s">
        <v>26</v>
      </c>
      <c r="L170" s="123">
        <v>46280</v>
      </c>
      <c r="M170" s="123">
        <v>46280</v>
      </c>
      <c r="N170" s="123">
        <v>46280</v>
      </c>
      <c r="O170" s="124">
        <v>1</v>
      </c>
      <c r="P170" s="125"/>
    </row>
    <row r="171" spans="1:16" ht="87.75" customHeight="1">
      <c r="A171" s="118">
        <v>3</v>
      </c>
      <c r="B171" s="118" t="s">
        <v>350</v>
      </c>
      <c r="C171" s="118" t="s">
        <v>315</v>
      </c>
      <c r="D171" s="119" t="s">
        <v>662</v>
      </c>
      <c r="E171" s="133" t="s">
        <v>247</v>
      </c>
      <c r="F171" s="120">
        <v>3</v>
      </c>
      <c r="G171" s="121" t="s">
        <v>541</v>
      </c>
      <c r="H171" s="119" t="s">
        <v>663</v>
      </c>
      <c r="I171" s="120" t="s">
        <v>615</v>
      </c>
      <c r="J171" s="119" t="s">
        <v>664</v>
      </c>
      <c r="K171" s="120" t="s">
        <v>26</v>
      </c>
      <c r="L171" s="123">
        <v>46298</v>
      </c>
      <c r="M171" s="123">
        <v>46296</v>
      </c>
      <c r="N171" s="123">
        <v>46298</v>
      </c>
      <c r="O171" s="124">
        <v>4</v>
      </c>
      <c r="P171" s="125"/>
    </row>
    <row r="172" spans="1:16" ht="44.25" customHeight="1">
      <c r="A172" s="118">
        <v>3</v>
      </c>
      <c r="B172" s="118" t="s">
        <v>350</v>
      </c>
      <c r="C172" s="118" t="s">
        <v>319</v>
      </c>
      <c r="D172" s="119" t="s">
        <v>665</v>
      </c>
      <c r="E172" s="133" t="s">
        <v>437</v>
      </c>
      <c r="F172" s="120">
        <v>2</v>
      </c>
      <c r="G172" s="121" t="s">
        <v>541</v>
      </c>
      <c r="H172" s="119" t="s">
        <v>666</v>
      </c>
      <c r="I172" s="120" t="s">
        <v>24</v>
      </c>
      <c r="J172" s="119" t="s">
        <v>667</v>
      </c>
      <c r="K172" s="120" t="s">
        <v>26</v>
      </c>
      <c r="L172" s="123">
        <v>46299</v>
      </c>
      <c r="M172" s="123">
        <v>46298</v>
      </c>
      <c r="N172" s="123">
        <v>46299</v>
      </c>
      <c r="O172" s="124">
        <v>2.5</v>
      </c>
      <c r="P172" s="125"/>
    </row>
    <row r="173" spans="1:16" ht="44.25" customHeight="1">
      <c r="A173" s="118">
        <v>3</v>
      </c>
      <c r="B173" s="118" t="s">
        <v>350</v>
      </c>
      <c r="C173" s="118" t="s">
        <v>323</v>
      </c>
      <c r="D173" s="119" t="s">
        <v>668</v>
      </c>
      <c r="E173" s="133" t="s">
        <v>505</v>
      </c>
      <c r="F173" s="120">
        <v>1</v>
      </c>
      <c r="G173" s="121" t="s">
        <v>541</v>
      </c>
      <c r="H173" s="119" t="s">
        <v>364</v>
      </c>
      <c r="I173" s="120" t="s">
        <v>24</v>
      </c>
      <c r="J173" s="119" t="s">
        <v>669</v>
      </c>
      <c r="K173" s="120" t="s">
        <v>366</v>
      </c>
      <c r="L173" s="123">
        <v>46299</v>
      </c>
      <c r="M173" s="123">
        <v>46298</v>
      </c>
      <c r="N173" s="123">
        <v>46299</v>
      </c>
      <c r="O173" s="124">
        <v>1.5</v>
      </c>
      <c r="P173" s="125"/>
    </row>
    <row r="174" spans="1:16" ht="33" customHeight="1">
      <c r="A174" s="118">
        <v>3</v>
      </c>
      <c r="B174" s="118" t="s">
        <v>350</v>
      </c>
      <c r="C174" s="118" t="s">
        <v>328</v>
      </c>
      <c r="D174" s="119" t="s">
        <v>535</v>
      </c>
      <c r="E174" s="133" t="s">
        <v>21</v>
      </c>
      <c r="F174" s="120">
        <v>0.5</v>
      </c>
      <c r="G174" s="121" t="s">
        <v>541</v>
      </c>
      <c r="H174" s="119" t="s">
        <v>670</v>
      </c>
      <c r="I174" s="120" t="s">
        <v>24</v>
      </c>
      <c r="J174" s="119" t="s">
        <v>671</v>
      </c>
      <c r="K174" s="120" t="s">
        <v>371</v>
      </c>
      <c r="L174" s="123">
        <v>46299</v>
      </c>
      <c r="M174" s="123">
        <v>46298</v>
      </c>
      <c r="N174" s="123">
        <v>46299</v>
      </c>
      <c r="O174" s="124">
        <v>0.5</v>
      </c>
      <c r="P174" s="125"/>
    </row>
  </sheetData>
  <mergeCells count="3">
    <mergeCell ref="A1:G1"/>
    <mergeCell ref="H1:L1"/>
    <mergeCell ref="M1:O1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abSelected="1" zoomScaleNormal="100" workbookViewId="0">
      <pane ySplit="9" topLeftCell="A10" activePane="bottomLeft" state="frozen"/>
      <selection pane="bottomLeft" activeCell="G105" sqref="G105"/>
    </sheetView>
  </sheetViews>
  <sheetFormatPr defaultColWidth="8.7109375" defaultRowHeight="15"/>
  <cols>
    <col min="1" max="1" width="22" customWidth="1"/>
    <col min="2" max="2" width="7" customWidth="1"/>
    <col min="3" max="3" width="12" customWidth="1"/>
    <col min="4" max="8" width="13" customWidth="1"/>
    <col min="9" max="9" width="15" customWidth="1"/>
  </cols>
  <sheetData>
    <row r="1" spans="1:9">
      <c r="A1" s="139" t="s">
        <v>672</v>
      </c>
      <c r="B1" s="139"/>
      <c r="C1" s="139"/>
      <c r="D1" s="139"/>
      <c r="E1" s="139"/>
      <c r="F1" s="139"/>
      <c r="G1" s="139"/>
      <c r="H1" s="139"/>
      <c r="I1" s="139"/>
    </row>
    <row r="3" spans="1:9" ht="15" customHeight="1">
      <c r="A3" s="126" t="s">
        <v>673</v>
      </c>
      <c r="B3" s="127">
        <f>SUM('Sprint Backlog'!$F$3:$F$174)</f>
        <v>404.5</v>
      </c>
      <c r="D3" s="137" t="s">
        <v>674</v>
      </c>
      <c r="E3" s="137"/>
      <c r="F3" s="137"/>
      <c r="G3" s="137"/>
      <c r="H3" s="137"/>
      <c r="I3" s="137"/>
    </row>
    <row r="4" spans="1:9">
      <c r="A4" s="126" t="s">
        <v>675</v>
      </c>
      <c r="B4" s="127">
        <f>SUM('Sprint Backlog'!$O$3:$O$174)</f>
        <v>517</v>
      </c>
      <c r="D4" s="137"/>
      <c r="E4" s="137"/>
      <c r="F4" s="137"/>
      <c r="G4" s="137"/>
      <c r="H4" s="137"/>
      <c r="I4" s="137"/>
    </row>
    <row r="5" spans="1:9">
      <c r="A5" s="126" t="s">
        <v>676</v>
      </c>
      <c r="B5" s="128">
        <f>COUNT(C10:C96)</f>
        <v>87</v>
      </c>
      <c r="D5" s="137"/>
      <c r="E5" s="137"/>
      <c r="F5" s="137"/>
      <c r="G5" s="137"/>
      <c r="H5" s="137"/>
      <c r="I5" s="137"/>
    </row>
    <row r="6" spans="1:9">
      <c r="D6" s="137"/>
      <c r="E6" s="137"/>
      <c r="F6" s="137"/>
      <c r="G6" s="137"/>
      <c r="H6" s="137"/>
      <c r="I6" s="137"/>
    </row>
    <row r="9" spans="1:9" ht="30" customHeight="1">
      <c r="A9" s="1" t="s">
        <v>677</v>
      </c>
      <c r="B9" s="1" t="s">
        <v>678</v>
      </c>
      <c r="C9" s="1" t="s">
        <v>679</v>
      </c>
      <c r="D9" s="1" t="s">
        <v>680</v>
      </c>
      <c r="E9" s="1" t="s">
        <v>681</v>
      </c>
      <c r="F9" s="1" t="s">
        <v>682</v>
      </c>
      <c r="G9" s="1" t="s">
        <v>683</v>
      </c>
      <c r="H9" s="1" t="s">
        <v>684</v>
      </c>
      <c r="I9" s="1" t="s">
        <v>685</v>
      </c>
    </row>
    <row r="10" spans="1:9">
      <c r="A10" s="129" t="s">
        <v>686</v>
      </c>
      <c r="B10" s="130">
        <v>0</v>
      </c>
      <c r="C10" s="131">
        <v>46142</v>
      </c>
      <c r="D10" s="132">
        <f>MAX(0,$B$3-$B$3*B10/($B$5-1))</f>
        <v>404.5</v>
      </c>
      <c r="E10" s="132">
        <f>$B$3-SUMIFS('Sprint Backlog'!$F$3:$F$174,'Sprint Backlog'!$N$3:$N$174,"&lt;="&amp;C10)</f>
        <v>403.5</v>
      </c>
      <c r="F10" s="132">
        <f>$B$3</f>
        <v>404.5</v>
      </c>
      <c r="G10" s="132">
        <f>$B$3-D10</f>
        <v>0</v>
      </c>
      <c r="H10" s="132">
        <f>$B$3-E10</f>
        <v>1</v>
      </c>
      <c r="I10" s="132">
        <f>SUMIFS('Sprint Backlog'!$O$3:$O$174,'Sprint Backlog'!$N$3:$N$174,"&lt;="&amp;C10)</f>
        <v>1</v>
      </c>
    </row>
    <row r="11" spans="1:9">
      <c r="A11" s="129" t="s">
        <v>686</v>
      </c>
      <c r="B11" s="130">
        <v>1</v>
      </c>
      <c r="C11" s="131">
        <v>46143</v>
      </c>
      <c r="D11" s="132">
        <f>MAX(0,$B$3-$B$3*B11/($B$5-1))</f>
        <v>399.79651162790697</v>
      </c>
      <c r="E11" s="132">
        <f>$B$3-SUMIFS('Sprint Backlog'!$F$3:$F$174,'Sprint Backlog'!$N$3:$N$174,"&lt;="&amp;C11)</f>
        <v>398.5</v>
      </c>
      <c r="F11" s="132">
        <f>$B$3</f>
        <v>404.5</v>
      </c>
      <c r="G11" s="132">
        <f>$B$3-D11</f>
        <v>4.7034883720930338</v>
      </c>
      <c r="H11" s="132">
        <f>$B$3-E11</f>
        <v>6</v>
      </c>
      <c r="I11" s="132">
        <f>SUMIFS('Sprint Backlog'!$O$3:$O$174,'Sprint Backlog'!$N$3:$N$174,"&lt;="&amp;C11)</f>
        <v>7.5</v>
      </c>
    </row>
    <row r="12" spans="1:9">
      <c r="A12" s="129" t="s">
        <v>686</v>
      </c>
      <c r="B12" s="130">
        <v>2</v>
      </c>
      <c r="C12" s="131">
        <v>46144</v>
      </c>
      <c r="D12" s="132">
        <f>MAX(0,$B$3-$B$3*B12/($B$5-1))</f>
        <v>395.09302325581393</v>
      </c>
      <c r="E12" s="132">
        <f>$B$3-SUMIFS('Sprint Backlog'!$F$3:$F$174,'Sprint Backlog'!$N$3:$N$174,"&lt;="&amp;C12)</f>
        <v>397.5</v>
      </c>
      <c r="F12" s="132">
        <f>$B$3</f>
        <v>404.5</v>
      </c>
      <c r="G12" s="132">
        <f>$B$3-D12</f>
        <v>9.4069767441860677</v>
      </c>
      <c r="H12" s="132">
        <f>$B$3-E12</f>
        <v>7</v>
      </c>
      <c r="I12" s="132">
        <f>SUMIFS('Sprint Backlog'!$O$3:$O$174,'Sprint Backlog'!$N$3:$N$174,"&lt;="&amp;C12)</f>
        <v>9</v>
      </c>
    </row>
    <row r="13" spans="1:9">
      <c r="A13" s="129" t="s">
        <v>686</v>
      </c>
      <c r="B13" s="130">
        <v>3</v>
      </c>
      <c r="C13" s="131">
        <v>46145</v>
      </c>
      <c r="D13" s="132">
        <f>MAX(0,$B$3-$B$3*B13/($B$5-1))</f>
        <v>390.38953488372096</v>
      </c>
      <c r="E13" s="132">
        <f>$B$3-SUMIFS('Sprint Backlog'!$F$3:$F$174,'Sprint Backlog'!$N$3:$N$174,"&lt;="&amp;C13)</f>
        <v>392.5</v>
      </c>
      <c r="F13" s="132">
        <f>$B$3</f>
        <v>404.5</v>
      </c>
      <c r="G13" s="132">
        <f>$B$3-D13</f>
        <v>14.110465116279045</v>
      </c>
      <c r="H13" s="132">
        <f>$B$3-E13</f>
        <v>12</v>
      </c>
      <c r="I13" s="132">
        <f>SUMIFS('Sprint Backlog'!$O$3:$O$174,'Sprint Backlog'!$N$3:$N$174,"&lt;="&amp;C13)</f>
        <v>15.5</v>
      </c>
    </row>
    <row r="14" spans="1:9">
      <c r="A14" s="129" t="s">
        <v>686</v>
      </c>
      <c r="B14" s="130">
        <v>4</v>
      </c>
      <c r="C14" s="131">
        <v>46146</v>
      </c>
      <c r="D14" s="132">
        <f>MAX(0,$B$3-$B$3*B14/($B$5-1))</f>
        <v>385.68604651162792</v>
      </c>
      <c r="E14" s="132">
        <f>$B$3-SUMIFS('Sprint Backlog'!$F$3:$F$174,'Sprint Backlog'!$N$3:$N$174,"&lt;="&amp;C14)</f>
        <v>389.5</v>
      </c>
      <c r="F14" s="132">
        <f>$B$3</f>
        <v>404.5</v>
      </c>
      <c r="G14" s="132">
        <f>$B$3-D14</f>
        <v>18.813953488372078</v>
      </c>
      <c r="H14" s="132">
        <f>$B$3-E14</f>
        <v>15</v>
      </c>
      <c r="I14" s="132">
        <f>SUMIFS('Sprint Backlog'!$O$3:$O$174,'Sprint Backlog'!$N$3:$N$174,"&lt;="&amp;C14)</f>
        <v>19.5</v>
      </c>
    </row>
    <row r="15" spans="1:9">
      <c r="A15" s="129" t="s">
        <v>686</v>
      </c>
      <c r="B15" s="130">
        <v>5</v>
      </c>
      <c r="C15" s="131">
        <v>46147</v>
      </c>
      <c r="D15" s="132">
        <f>MAX(0,$B$3-$B$3*B15/($B$5-1))</f>
        <v>380.98255813953489</v>
      </c>
      <c r="E15" s="132">
        <f>$B$3-SUMIFS('Sprint Backlog'!$F$3:$F$174,'Sprint Backlog'!$N$3:$N$174,"&lt;="&amp;C15)</f>
        <v>384.5</v>
      </c>
      <c r="F15" s="132">
        <f>$B$3</f>
        <v>404.5</v>
      </c>
      <c r="G15" s="132">
        <f>$B$3-D15</f>
        <v>23.517441860465112</v>
      </c>
      <c r="H15" s="132">
        <f>$B$3-E15</f>
        <v>20</v>
      </c>
      <c r="I15" s="132">
        <f>SUMIFS('Sprint Backlog'!$O$3:$O$174,'Sprint Backlog'!$N$3:$N$174,"&lt;="&amp;C15)</f>
        <v>26</v>
      </c>
    </row>
    <row r="16" spans="1:9">
      <c r="A16" s="129" t="s">
        <v>686</v>
      </c>
      <c r="B16" s="130">
        <v>6</v>
      </c>
      <c r="C16" s="131">
        <v>46148</v>
      </c>
      <c r="D16" s="132">
        <f>MAX(0,$B$3-$B$3*B16/($B$5-1))</f>
        <v>376.27906976744185</v>
      </c>
      <c r="E16" s="132">
        <f>$B$3-SUMIFS('Sprint Backlog'!$F$3:$F$174,'Sprint Backlog'!$N$3:$N$174,"&lt;="&amp;C16)</f>
        <v>380.5</v>
      </c>
      <c r="F16" s="132">
        <f>$B$3</f>
        <v>404.5</v>
      </c>
      <c r="G16" s="132">
        <f>$B$3-D16</f>
        <v>28.220930232558146</v>
      </c>
      <c r="H16" s="132">
        <f>$B$3-E16</f>
        <v>24</v>
      </c>
      <c r="I16" s="132">
        <f>SUMIFS('Sprint Backlog'!$O$3:$O$174,'Sprint Backlog'!$N$3:$N$174,"&lt;="&amp;C16)</f>
        <v>31</v>
      </c>
    </row>
    <row r="17" spans="1:9">
      <c r="A17" s="129" t="s">
        <v>686</v>
      </c>
      <c r="B17" s="130">
        <v>7</v>
      </c>
      <c r="C17" s="131">
        <v>46149</v>
      </c>
      <c r="D17" s="132">
        <f>MAX(0,$B$3-$B$3*B17/($B$5-1))</f>
        <v>371.57558139534882</v>
      </c>
      <c r="E17" s="132">
        <f>$B$3-SUMIFS('Sprint Backlog'!$F$3:$F$174,'Sprint Backlog'!$N$3:$N$174,"&lt;="&amp;C17)</f>
        <v>375.5</v>
      </c>
      <c r="F17" s="132">
        <f>$B$3</f>
        <v>404.5</v>
      </c>
      <c r="G17" s="132">
        <f>$B$3-D17</f>
        <v>32.92441860465118</v>
      </c>
      <c r="H17" s="132">
        <f>$B$3-E17</f>
        <v>29</v>
      </c>
      <c r="I17" s="132">
        <f>SUMIFS('Sprint Backlog'!$O$3:$O$174,'Sprint Backlog'!$N$3:$N$174,"&lt;="&amp;C17)</f>
        <v>37.5</v>
      </c>
    </row>
    <row r="18" spans="1:9">
      <c r="A18" s="129" t="s">
        <v>686</v>
      </c>
      <c r="B18" s="130">
        <v>8</v>
      </c>
      <c r="C18" s="131">
        <v>46150</v>
      </c>
      <c r="D18" s="132">
        <f>MAX(0,$B$3-$B$3*B18/($B$5-1))</f>
        <v>366.87209302325584</v>
      </c>
      <c r="E18" s="132">
        <f>$B$3-SUMIFS('Sprint Backlog'!$F$3:$F$174,'Sprint Backlog'!$N$3:$N$174,"&lt;="&amp;C18)</f>
        <v>370.5</v>
      </c>
      <c r="F18" s="132">
        <f>$B$3</f>
        <v>404.5</v>
      </c>
      <c r="G18" s="132">
        <f>$B$3-D18</f>
        <v>37.627906976744157</v>
      </c>
      <c r="H18" s="132">
        <f>$B$3-E18</f>
        <v>34</v>
      </c>
      <c r="I18" s="132">
        <f>SUMIFS('Sprint Backlog'!$O$3:$O$174,'Sprint Backlog'!$N$3:$N$174,"&lt;="&amp;C18)</f>
        <v>44</v>
      </c>
    </row>
    <row r="19" spans="1:9">
      <c r="A19" s="129" t="s">
        <v>686</v>
      </c>
      <c r="B19" s="130">
        <v>9</v>
      </c>
      <c r="C19" s="131">
        <v>46151</v>
      </c>
      <c r="D19" s="132">
        <f>MAX(0,$B$3-$B$3*B19/($B$5-1))</f>
        <v>362.16860465116281</v>
      </c>
      <c r="E19" s="132">
        <f>$B$3-SUMIFS('Sprint Backlog'!$F$3:$F$174,'Sprint Backlog'!$N$3:$N$174,"&lt;="&amp;C19)</f>
        <v>368.5</v>
      </c>
      <c r="F19" s="132">
        <f>$B$3</f>
        <v>404.5</v>
      </c>
      <c r="G19" s="132">
        <f>$B$3-D19</f>
        <v>42.331395348837191</v>
      </c>
      <c r="H19" s="132">
        <f>$B$3-E19</f>
        <v>36</v>
      </c>
      <c r="I19" s="132">
        <f>SUMIFS('Sprint Backlog'!$O$3:$O$174,'Sprint Backlog'!$N$3:$N$174,"&lt;="&amp;C19)</f>
        <v>46.5</v>
      </c>
    </row>
    <row r="20" spans="1:9">
      <c r="A20" s="129" t="s">
        <v>686</v>
      </c>
      <c r="B20" s="130">
        <v>10</v>
      </c>
      <c r="C20" s="131">
        <v>46152</v>
      </c>
      <c r="D20" s="132">
        <f>MAX(0,$B$3-$B$3*B20/($B$5-1))</f>
        <v>357.46511627906978</v>
      </c>
      <c r="E20" s="132">
        <f>$B$3-SUMIFS('Sprint Backlog'!$F$3:$F$174,'Sprint Backlog'!$N$3:$N$174,"&lt;="&amp;C20)</f>
        <v>368.5</v>
      </c>
      <c r="F20" s="132">
        <f>$B$3</f>
        <v>404.5</v>
      </c>
      <c r="G20" s="132">
        <f>$B$3-D20</f>
        <v>47.034883720930225</v>
      </c>
      <c r="H20" s="132">
        <f>$B$3-E20</f>
        <v>36</v>
      </c>
      <c r="I20" s="132">
        <f>SUMIFS('Sprint Backlog'!$O$3:$O$174,'Sprint Backlog'!$N$3:$N$174,"&lt;="&amp;C20)</f>
        <v>46.5</v>
      </c>
    </row>
    <row r="21" spans="1:9">
      <c r="A21" s="129" t="s">
        <v>686</v>
      </c>
      <c r="B21" s="130">
        <v>11</v>
      </c>
      <c r="C21" s="131">
        <v>46153</v>
      </c>
      <c r="D21" s="132">
        <f>MAX(0,$B$3-$B$3*B21/($B$5-1))</f>
        <v>352.76162790697674</v>
      </c>
      <c r="E21" s="132">
        <f>$B$3-SUMIFS('Sprint Backlog'!$F$3:$F$174,'Sprint Backlog'!$N$3:$N$174,"&lt;="&amp;C21)</f>
        <v>362.5</v>
      </c>
      <c r="F21" s="132">
        <f>$B$3</f>
        <v>404.5</v>
      </c>
      <c r="G21" s="132">
        <f>$B$3-D21</f>
        <v>51.738372093023258</v>
      </c>
      <c r="H21" s="132">
        <f>$B$3-E21</f>
        <v>42</v>
      </c>
      <c r="I21" s="132">
        <f>SUMIFS('Sprint Backlog'!$O$3:$O$174,'Sprint Backlog'!$N$3:$N$174,"&lt;="&amp;C21)</f>
        <v>54</v>
      </c>
    </row>
    <row r="22" spans="1:9">
      <c r="A22" s="129" t="s">
        <v>686</v>
      </c>
      <c r="B22" s="130">
        <v>12</v>
      </c>
      <c r="C22" s="131">
        <v>46154</v>
      </c>
      <c r="D22" s="132">
        <f>MAX(0,$B$3-$B$3*B22/($B$5-1))</f>
        <v>348.05813953488371</v>
      </c>
      <c r="E22" s="132">
        <f>$B$3-SUMIFS('Sprint Backlog'!$F$3:$F$174,'Sprint Backlog'!$N$3:$N$174,"&lt;="&amp;C22)</f>
        <v>360.5</v>
      </c>
      <c r="F22" s="132">
        <f>$B$3</f>
        <v>404.5</v>
      </c>
      <c r="G22" s="132">
        <f>$B$3-D22</f>
        <v>56.441860465116292</v>
      </c>
      <c r="H22" s="132">
        <f>$B$3-E22</f>
        <v>44</v>
      </c>
      <c r="I22" s="132">
        <f>SUMIFS('Sprint Backlog'!$O$3:$O$174,'Sprint Backlog'!$N$3:$N$174,"&lt;="&amp;C22)</f>
        <v>56.5</v>
      </c>
    </row>
    <row r="23" spans="1:9">
      <c r="A23" s="129" t="s">
        <v>686</v>
      </c>
      <c r="B23" s="130">
        <v>13</v>
      </c>
      <c r="C23" s="131">
        <v>46155</v>
      </c>
      <c r="D23" s="132">
        <f>MAX(0,$B$3-$B$3*B23/($B$5-1))</f>
        <v>343.35465116279067</v>
      </c>
      <c r="E23" s="132">
        <f>$B$3-SUMIFS('Sprint Backlog'!$F$3:$F$174,'Sprint Backlog'!$N$3:$N$174,"&lt;="&amp;C23)</f>
        <v>357.5</v>
      </c>
      <c r="F23" s="132">
        <f>$B$3</f>
        <v>404.5</v>
      </c>
      <c r="G23" s="132">
        <f>$B$3-D23</f>
        <v>61.145348837209326</v>
      </c>
      <c r="H23" s="132">
        <f>$B$3-E23</f>
        <v>47</v>
      </c>
      <c r="I23" s="132">
        <f>SUMIFS('Sprint Backlog'!$O$3:$O$174,'Sprint Backlog'!$N$3:$N$174,"&lt;="&amp;C23)</f>
        <v>60.5</v>
      </c>
    </row>
    <row r="24" spans="1:9">
      <c r="A24" s="129" t="s">
        <v>686</v>
      </c>
      <c r="B24" s="130">
        <v>14</v>
      </c>
      <c r="C24" s="131">
        <v>46156</v>
      </c>
      <c r="D24" s="132">
        <f>MAX(0,$B$3-$B$3*B24/($B$5-1))</f>
        <v>338.65116279069764</v>
      </c>
      <c r="E24" s="132">
        <f>$B$3-SUMIFS('Sprint Backlog'!$F$3:$F$174,'Sprint Backlog'!$N$3:$N$174,"&lt;="&amp;C24)</f>
        <v>347.5</v>
      </c>
      <c r="F24" s="132">
        <f>$B$3</f>
        <v>404.5</v>
      </c>
      <c r="G24" s="132">
        <f>$B$3-D24</f>
        <v>65.84883720930236</v>
      </c>
      <c r="H24" s="132">
        <f>$B$3-E24</f>
        <v>57</v>
      </c>
      <c r="I24" s="132">
        <f>SUMIFS('Sprint Backlog'!$O$3:$O$174,'Sprint Backlog'!$N$3:$N$174,"&lt;="&amp;C24)</f>
        <v>73.5</v>
      </c>
    </row>
    <row r="25" spans="1:9">
      <c r="A25" s="129" t="s">
        <v>686</v>
      </c>
      <c r="B25" s="130">
        <v>15</v>
      </c>
      <c r="C25" s="131">
        <v>46157</v>
      </c>
      <c r="D25" s="132">
        <f>MAX(0,$B$3-$B$3*B25/($B$5-1))</f>
        <v>333.94767441860466</v>
      </c>
      <c r="E25" s="132">
        <f>$B$3-SUMIFS('Sprint Backlog'!$F$3:$F$174,'Sprint Backlog'!$N$3:$N$174,"&lt;="&amp;C25)</f>
        <v>347.5</v>
      </c>
      <c r="F25" s="132">
        <f>$B$3</f>
        <v>404.5</v>
      </c>
      <c r="G25" s="132">
        <f>$B$3-D25</f>
        <v>70.552325581395337</v>
      </c>
      <c r="H25" s="132">
        <f>$B$3-E25</f>
        <v>57</v>
      </c>
      <c r="I25" s="132">
        <f>SUMIFS('Sprint Backlog'!$O$3:$O$174,'Sprint Backlog'!$N$3:$N$174,"&lt;="&amp;C25)</f>
        <v>73.5</v>
      </c>
    </row>
    <row r="26" spans="1:9">
      <c r="A26" s="129" t="s">
        <v>686</v>
      </c>
      <c r="B26" s="130">
        <v>16</v>
      </c>
      <c r="C26" s="131">
        <v>46158</v>
      </c>
      <c r="D26" s="132">
        <f>MAX(0,$B$3-$B$3*B26/($B$5-1))</f>
        <v>329.24418604651163</v>
      </c>
      <c r="E26" s="132">
        <f>$B$3-SUMIFS('Sprint Backlog'!$F$3:$F$174,'Sprint Backlog'!$N$3:$N$174,"&lt;="&amp;C26)</f>
        <v>340.5</v>
      </c>
      <c r="F26" s="132">
        <f>$B$3</f>
        <v>404.5</v>
      </c>
      <c r="G26" s="132">
        <f>$B$3-D26</f>
        <v>75.255813953488371</v>
      </c>
      <c r="H26" s="132">
        <f>$B$3-E26</f>
        <v>64</v>
      </c>
      <c r="I26" s="132">
        <f>SUMIFS('Sprint Backlog'!$O$3:$O$174,'Sprint Backlog'!$N$3:$N$174,"&lt;="&amp;C26)</f>
        <v>82.5</v>
      </c>
    </row>
    <row r="27" spans="1:9">
      <c r="A27" s="129" t="s">
        <v>686</v>
      </c>
      <c r="B27" s="130">
        <v>17</v>
      </c>
      <c r="C27" s="131">
        <v>46159</v>
      </c>
      <c r="D27" s="132">
        <f>MAX(0,$B$3-$B$3*B27/($B$5-1))</f>
        <v>324.5406976744186</v>
      </c>
      <c r="E27" s="132">
        <f>$B$3-SUMIFS('Sprint Backlog'!$F$3:$F$174,'Sprint Backlog'!$N$3:$N$174,"&lt;="&amp;C27)</f>
        <v>337.5</v>
      </c>
      <c r="F27" s="132">
        <f>$B$3</f>
        <v>404.5</v>
      </c>
      <c r="G27" s="132">
        <f>$B$3-D27</f>
        <v>79.959302325581405</v>
      </c>
      <c r="H27" s="132">
        <f>$B$3-E27</f>
        <v>67</v>
      </c>
      <c r="I27" s="132">
        <f>SUMIFS('Sprint Backlog'!$O$3:$O$174,'Sprint Backlog'!$N$3:$N$174,"&lt;="&amp;C27)</f>
        <v>86.5</v>
      </c>
    </row>
    <row r="28" spans="1:9">
      <c r="A28" s="129" t="s">
        <v>686</v>
      </c>
      <c r="B28" s="130">
        <v>18</v>
      </c>
      <c r="C28" s="131">
        <v>46160</v>
      </c>
      <c r="D28" s="132">
        <f>MAX(0,$B$3-$B$3*B28/($B$5-1))</f>
        <v>319.83720930232556</v>
      </c>
      <c r="E28" s="132">
        <f>$B$3-SUMIFS('Sprint Backlog'!$F$3:$F$174,'Sprint Backlog'!$N$3:$N$174,"&lt;="&amp;C28)</f>
        <v>333.5</v>
      </c>
      <c r="F28" s="132">
        <f>$B$3</f>
        <v>404.5</v>
      </c>
      <c r="G28" s="132">
        <f>$B$3-D28</f>
        <v>84.662790697674438</v>
      </c>
      <c r="H28" s="132">
        <f>$B$3-E28</f>
        <v>71</v>
      </c>
      <c r="I28" s="132">
        <f>SUMIFS('Sprint Backlog'!$O$3:$O$174,'Sprint Backlog'!$N$3:$N$174,"&lt;="&amp;C28)</f>
        <v>91.5</v>
      </c>
    </row>
    <row r="29" spans="1:9">
      <c r="A29" s="129" t="s">
        <v>686</v>
      </c>
      <c r="B29" s="130">
        <v>19</v>
      </c>
      <c r="C29" s="131">
        <v>46161</v>
      </c>
      <c r="D29" s="132">
        <f>MAX(0,$B$3-$B$3*B29/($B$5-1))</f>
        <v>315.13372093023258</v>
      </c>
      <c r="E29" s="132">
        <f>$B$3-SUMIFS('Sprint Backlog'!$F$3:$F$174,'Sprint Backlog'!$N$3:$N$174,"&lt;="&amp;C29)</f>
        <v>326.5</v>
      </c>
      <c r="F29" s="132">
        <f>$B$3</f>
        <v>404.5</v>
      </c>
      <c r="G29" s="132">
        <f>$B$3-D29</f>
        <v>89.366279069767415</v>
      </c>
      <c r="H29" s="132">
        <f>$B$3-E29</f>
        <v>78</v>
      </c>
      <c r="I29" s="132">
        <f>SUMIFS('Sprint Backlog'!$O$3:$O$174,'Sprint Backlog'!$N$3:$N$174,"&lt;="&amp;C29)</f>
        <v>100.5</v>
      </c>
    </row>
    <row r="30" spans="1:9">
      <c r="A30" s="129" t="s">
        <v>686</v>
      </c>
      <c r="B30" s="130">
        <v>20</v>
      </c>
      <c r="C30" s="131">
        <v>46162</v>
      </c>
      <c r="D30" s="132">
        <f>MAX(0,$B$3-$B$3*B30/($B$5-1))</f>
        <v>310.43023255813955</v>
      </c>
      <c r="E30" s="132">
        <f>$B$3-SUMIFS('Sprint Backlog'!$F$3:$F$174,'Sprint Backlog'!$N$3:$N$174,"&lt;="&amp;C30)</f>
        <v>326.5</v>
      </c>
      <c r="F30" s="132">
        <f>$B$3</f>
        <v>404.5</v>
      </c>
      <c r="G30" s="132">
        <f>$B$3-D30</f>
        <v>94.069767441860449</v>
      </c>
      <c r="H30" s="132">
        <f>$B$3-E30</f>
        <v>78</v>
      </c>
      <c r="I30" s="132">
        <f>SUMIFS('Sprint Backlog'!$O$3:$O$174,'Sprint Backlog'!$N$3:$N$174,"&lt;="&amp;C30)</f>
        <v>100.5</v>
      </c>
    </row>
    <row r="31" spans="1:9">
      <c r="A31" s="129" t="s">
        <v>686</v>
      </c>
      <c r="B31" s="130">
        <v>21</v>
      </c>
      <c r="C31" s="131">
        <v>46163</v>
      </c>
      <c r="D31" s="132">
        <f>MAX(0,$B$3-$B$3*B31/($B$5-1))</f>
        <v>305.72674418604652</v>
      </c>
      <c r="E31" s="132">
        <f>$B$3-SUMIFS('Sprint Backlog'!$F$3:$F$174,'Sprint Backlog'!$N$3:$N$174,"&lt;="&amp;C31)</f>
        <v>315.5</v>
      </c>
      <c r="F31" s="132">
        <f>$B$3</f>
        <v>404.5</v>
      </c>
      <c r="G31" s="132">
        <f>$B$3-D31</f>
        <v>98.773255813953483</v>
      </c>
      <c r="H31" s="132">
        <f>$B$3-E31</f>
        <v>89</v>
      </c>
      <c r="I31" s="132">
        <f>SUMIFS('Sprint Backlog'!$O$3:$O$174,'Sprint Backlog'!$N$3:$N$174,"&lt;="&amp;C31)</f>
        <v>115</v>
      </c>
    </row>
    <row r="32" spans="1:9">
      <c r="A32" s="129" t="s">
        <v>686</v>
      </c>
      <c r="B32" s="130">
        <v>22</v>
      </c>
      <c r="C32" s="131">
        <v>46164</v>
      </c>
      <c r="D32" s="132">
        <f>MAX(0,$B$3-$B$3*B32/($B$5-1))</f>
        <v>301.02325581395348</v>
      </c>
      <c r="E32" s="132">
        <f>$B$3-SUMIFS('Sprint Backlog'!$F$3:$F$174,'Sprint Backlog'!$N$3:$N$174,"&lt;="&amp;C32)</f>
        <v>312.5</v>
      </c>
      <c r="F32" s="132">
        <f>$B$3</f>
        <v>404.5</v>
      </c>
      <c r="G32" s="132">
        <f>$B$3-D32</f>
        <v>103.47674418604652</v>
      </c>
      <c r="H32" s="132">
        <f>$B$3-E32</f>
        <v>92</v>
      </c>
      <c r="I32" s="132">
        <f>SUMIFS('Sprint Backlog'!$O$3:$O$174,'Sprint Backlog'!$N$3:$N$174,"&lt;="&amp;C32)</f>
        <v>119</v>
      </c>
    </row>
    <row r="33" spans="1:9">
      <c r="A33" s="129" t="s">
        <v>686</v>
      </c>
      <c r="B33" s="130">
        <v>23</v>
      </c>
      <c r="C33" s="131">
        <v>46165</v>
      </c>
      <c r="D33" s="132">
        <f>MAX(0,$B$3-$B$3*B33/($B$5-1))</f>
        <v>296.31976744186045</v>
      </c>
      <c r="E33" s="132">
        <f>$B$3-SUMIFS('Sprint Backlog'!$F$3:$F$174,'Sprint Backlog'!$N$3:$N$174,"&lt;="&amp;C33)</f>
        <v>308.5</v>
      </c>
      <c r="F33" s="132">
        <f>$B$3</f>
        <v>404.5</v>
      </c>
      <c r="G33" s="132">
        <f>$B$3-D33</f>
        <v>108.18023255813955</v>
      </c>
      <c r="H33" s="132">
        <f>$B$3-E33</f>
        <v>96</v>
      </c>
      <c r="I33" s="132">
        <f>SUMIFS('Sprint Backlog'!$O$3:$O$174,'Sprint Backlog'!$N$3:$N$174,"&lt;="&amp;C33)</f>
        <v>124</v>
      </c>
    </row>
    <row r="34" spans="1:9">
      <c r="A34" s="129" t="s">
        <v>686</v>
      </c>
      <c r="B34" s="130">
        <v>24</v>
      </c>
      <c r="C34" s="131">
        <v>46166</v>
      </c>
      <c r="D34" s="132">
        <f>MAX(0,$B$3-$B$3*B34/($B$5-1))</f>
        <v>291.61627906976742</v>
      </c>
      <c r="E34" s="132">
        <f>$B$3-SUMIFS('Sprint Backlog'!$F$3:$F$174,'Sprint Backlog'!$N$3:$N$174,"&lt;="&amp;C34)</f>
        <v>300.5</v>
      </c>
      <c r="F34" s="132">
        <f>$B$3</f>
        <v>404.5</v>
      </c>
      <c r="G34" s="132">
        <f>$B$3-D34</f>
        <v>112.88372093023258</v>
      </c>
      <c r="H34" s="132">
        <f>$B$3-E34</f>
        <v>104</v>
      </c>
      <c r="I34" s="132">
        <f>SUMIFS('Sprint Backlog'!$O$3:$O$174,'Sprint Backlog'!$N$3:$N$174,"&lt;="&amp;C34)</f>
        <v>134</v>
      </c>
    </row>
    <row r="35" spans="1:9">
      <c r="A35" s="129" t="s">
        <v>686</v>
      </c>
      <c r="B35" s="130">
        <v>25</v>
      </c>
      <c r="C35" s="131">
        <v>46167</v>
      </c>
      <c r="D35" s="132">
        <f>MAX(0,$B$3-$B$3*B35/($B$5-1))</f>
        <v>286.91279069767444</v>
      </c>
      <c r="E35" s="132">
        <f>$B$3-SUMIFS('Sprint Backlog'!$F$3:$F$174,'Sprint Backlog'!$N$3:$N$174,"&lt;="&amp;C35)</f>
        <v>298.5</v>
      </c>
      <c r="F35" s="132">
        <f>$B$3</f>
        <v>404.5</v>
      </c>
      <c r="G35" s="132">
        <f>$B$3-D35</f>
        <v>117.58720930232556</v>
      </c>
      <c r="H35" s="132">
        <f>$B$3-E35</f>
        <v>106</v>
      </c>
      <c r="I35" s="132">
        <f>SUMIFS('Sprint Backlog'!$O$3:$O$174,'Sprint Backlog'!$N$3:$N$174,"&lt;="&amp;C35)</f>
        <v>136.5</v>
      </c>
    </row>
    <row r="36" spans="1:9">
      <c r="A36" s="129" t="s">
        <v>686</v>
      </c>
      <c r="B36" s="130">
        <v>26</v>
      </c>
      <c r="C36" s="131">
        <v>46168</v>
      </c>
      <c r="D36" s="132">
        <f>MAX(0,$B$3-$B$3*B36/($B$5-1))</f>
        <v>282.2093023255814</v>
      </c>
      <c r="E36" s="132">
        <f>$B$3-SUMIFS('Sprint Backlog'!$F$3:$F$174,'Sprint Backlog'!$N$3:$N$174,"&lt;="&amp;C36)</f>
        <v>290.5</v>
      </c>
      <c r="F36" s="132">
        <f>$B$3</f>
        <v>404.5</v>
      </c>
      <c r="G36" s="132">
        <f>$B$3-D36</f>
        <v>122.2906976744186</v>
      </c>
      <c r="H36" s="132">
        <f>$B$3-E36</f>
        <v>114</v>
      </c>
      <c r="I36" s="132">
        <f>SUMIFS('Sprint Backlog'!$O$3:$O$174,'Sprint Backlog'!$N$3:$N$174,"&lt;="&amp;C36)</f>
        <v>146</v>
      </c>
    </row>
    <row r="37" spans="1:9">
      <c r="A37" s="129" t="s">
        <v>686</v>
      </c>
      <c r="B37" s="130">
        <v>27</v>
      </c>
      <c r="C37" s="131">
        <v>46169</v>
      </c>
      <c r="D37" s="132">
        <f>MAX(0,$B$3-$B$3*B37/($B$5-1))</f>
        <v>277.50581395348837</v>
      </c>
      <c r="E37" s="132">
        <f>$B$3-SUMIFS('Sprint Backlog'!$F$3:$F$174,'Sprint Backlog'!$N$3:$N$174,"&lt;="&amp;C37)</f>
        <v>287.5</v>
      </c>
      <c r="F37" s="132">
        <f>$B$3</f>
        <v>404.5</v>
      </c>
      <c r="G37" s="132">
        <f>$B$3-D37</f>
        <v>126.99418604651163</v>
      </c>
      <c r="H37" s="132">
        <f>$B$3-E37</f>
        <v>117</v>
      </c>
      <c r="I37" s="132">
        <f>SUMIFS('Sprint Backlog'!$O$3:$O$174,'Sprint Backlog'!$N$3:$N$174,"&lt;="&amp;C37)</f>
        <v>150</v>
      </c>
    </row>
    <row r="38" spans="1:9">
      <c r="A38" s="129" t="s">
        <v>686</v>
      </c>
      <c r="B38" s="130">
        <v>28</v>
      </c>
      <c r="C38" s="131">
        <v>46170</v>
      </c>
      <c r="D38" s="132">
        <f>MAX(0,$B$3-$B$3*B38/($B$5-1))</f>
        <v>272.80232558139534</v>
      </c>
      <c r="E38" s="132">
        <f>$B$3-SUMIFS('Sprint Backlog'!$F$3:$F$174,'Sprint Backlog'!$N$3:$N$174,"&lt;="&amp;C38)</f>
        <v>277.5</v>
      </c>
      <c r="F38" s="132">
        <f>$B$3</f>
        <v>404.5</v>
      </c>
      <c r="G38" s="132">
        <f>$B$3-D38</f>
        <v>131.69767441860466</v>
      </c>
      <c r="H38" s="132">
        <f>$B$3-E38</f>
        <v>127</v>
      </c>
      <c r="I38" s="132">
        <f>SUMIFS('Sprint Backlog'!$O$3:$O$174,'Sprint Backlog'!$N$3:$N$174,"&lt;="&amp;C38)</f>
        <v>163</v>
      </c>
    </row>
    <row r="39" spans="1:9">
      <c r="A39" s="129" t="s">
        <v>686</v>
      </c>
      <c r="B39" s="130">
        <v>29</v>
      </c>
      <c r="C39" s="131">
        <v>46171</v>
      </c>
      <c r="D39" s="132">
        <f>MAX(0,$B$3-$B$3*B39/($B$5-1))</f>
        <v>268.09883720930236</v>
      </c>
      <c r="E39" s="132">
        <f>$B$3-SUMIFS('Sprint Backlog'!$F$3:$F$174,'Sprint Backlog'!$N$3:$N$174,"&lt;="&amp;C39)</f>
        <v>275.5</v>
      </c>
      <c r="F39" s="132">
        <f>$B$3</f>
        <v>404.5</v>
      </c>
      <c r="G39" s="132">
        <f>$B$3-D39</f>
        <v>136.40116279069764</v>
      </c>
      <c r="H39" s="132">
        <f>$B$3-E39</f>
        <v>129</v>
      </c>
      <c r="I39" s="132">
        <f>SUMIFS('Sprint Backlog'!$O$3:$O$174,'Sprint Backlog'!$N$3:$N$174,"&lt;="&amp;C39)</f>
        <v>165.5</v>
      </c>
    </row>
    <row r="40" spans="1:9">
      <c r="A40" s="129" t="s">
        <v>686</v>
      </c>
      <c r="B40" s="130">
        <v>30</v>
      </c>
      <c r="C40" s="131">
        <v>46172</v>
      </c>
      <c r="D40" s="132">
        <f>MAX(0,$B$3-$B$3*B40/($B$5-1))</f>
        <v>263.39534883720933</v>
      </c>
      <c r="E40" s="132">
        <f>$B$3-SUMIFS('Sprint Backlog'!$F$3:$F$174,'Sprint Backlog'!$N$3:$N$174,"&lt;="&amp;C40)</f>
        <v>267.5</v>
      </c>
      <c r="F40" s="132">
        <f>$B$3</f>
        <v>404.5</v>
      </c>
      <c r="G40" s="132">
        <f>$B$3-D40</f>
        <v>141.10465116279067</v>
      </c>
      <c r="H40" s="132">
        <f>$B$3-E40</f>
        <v>137</v>
      </c>
      <c r="I40" s="132">
        <f>SUMIFS('Sprint Backlog'!$O$3:$O$174,'Sprint Backlog'!$N$3:$N$174,"&lt;="&amp;C40)</f>
        <v>175</v>
      </c>
    </row>
    <row r="41" spans="1:9">
      <c r="A41" s="129" t="s">
        <v>686</v>
      </c>
      <c r="B41" s="130">
        <v>31</v>
      </c>
      <c r="C41" s="131">
        <v>46173</v>
      </c>
      <c r="D41" s="132">
        <f>MAX(0,$B$3-$B$3*B41/($B$5-1))</f>
        <v>258.69186046511629</v>
      </c>
      <c r="E41" s="132">
        <f>$B$3-SUMIFS('Sprint Backlog'!$F$3:$F$174,'Sprint Backlog'!$N$3:$N$174,"&lt;="&amp;C41)</f>
        <v>265.5</v>
      </c>
      <c r="F41" s="132">
        <f>$B$3</f>
        <v>404.5</v>
      </c>
      <c r="G41" s="132">
        <f>$B$3-D41</f>
        <v>145.80813953488371</v>
      </c>
      <c r="H41" s="132">
        <f>$B$3-E41</f>
        <v>139</v>
      </c>
      <c r="I41" s="132">
        <f>SUMIFS('Sprint Backlog'!$O$3:$O$174,'Sprint Backlog'!$N$3:$N$174,"&lt;="&amp;C41)</f>
        <v>177.5</v>
      </c>
    </row>
    <row r="42" spans="1:9">
      <c r="A42" s="129" t="s">
        <v>686</v>
      </c>
      <c r="B42" s="130">
        <v>32</v>
      </c>
      <c r="C42" s="131">
        <v>46174</v>
      </c>
      <c r="D42" s="132">
        <f>MAX(0,$B$3-$B$3*B42/($B$5-1))</f>
        <v>253.98837209302326</v>
      </c>
      <c r="E42" s="132">
        <f>$B$3-SUMIFS('Sprint Backlog'!$F$3:$F$174,'Sprint Backlog'!$N$3:$N$174,"&lt;="&amp;C42)</f>
        <v>261.5</v>
      </c>
      <c r="F42" s="132">
        <f>$B$3</f>
        <v>404.5</v>
      </c>
      <c r="G42" s="132">
        <f>$B$3-D42</f>
        <v>150.51162790697674</v>
      </c>
      <c r="H42" s="132">
        <f>$B$3-E42</f>
        <v>143</v>
      </c>
      <c r="I42" s="132">
        <f>SUMIFS('Sprint Backlog'!$O$3:$O$174,'Sprint Backlog'!$N$3:$N$174,"&lt;="&amp;C42)</f>
        <v>182.5</v>
      </c>
    </row>
    <row r="43" spans="1:9">
      <c r="A43" s="129" t="s">
        <v>686</v>
      </c>
      <c r="B43" s="130">
        <v>33</v>
      </c>
      <c r="C43" s="131">
        <v>46175</v>
      </c>
      <c r="D43" s="132">
        <f>MAX(0,$B$3-$B$3*B43/($B$5-1))</f>
        <v>249.28488372093022</v>
      </c>
      <c r="E43" s="132">
        <f>$B$3-SUMIFS('Sprint Backlog'!$F$3:$F$174,'Sprint Backlog'!$N$3:$N$174,"&lt;="&amp;C43)</f>
        <v>257.5</v>
      </c>
      <c r="F43" s="132">
        <f>$B$3</f>
        <v>404.5</v>
      </c>
      <c r="G43" s="132">
        <f>$B$3-D43</f>
        <v>155.21511627906978</v>
      </c>
      <c r="H43" s="132">
        <f>$B$3-E43</f>
        <v>147</v>
      </c>
      <c r="I43" s="132">
        <f>SUMIFS('Sprint Backlog'!$O$3:$O$174,'Sprint Backlog'!$N$3:$N$174,"&lt;="&amp;C43)</f>
        <v>187.5</v>
      </c>
    </row>
    <row r="44" spans="1:9">
      <c r="A44" s="129" t="s">
        <v>686</v>
      </c>
      <c r="B44" s="130">
        <v>34</v>
      </c>
      <c r="C44" s="131">
        <v>46176</v>
      </c>
      <c r="D44" s="132">
        <f>MAX(0,$B$3-$B$3*B44/($B$5-1))</f>
        <v>244.58139534883722</v>
      </c>
      <c r="E44" s="132">
        <f>$B$3-SUMIFS('Sprint Backlog'!$F$3:$F$174,'Sprint Backlog'!$N$3:$N$174,"&lt;="&amp;C44)</f>
        <v>246.5</v>
      </c>
      <c r="F44" s="132">
        <f>$B$3</f>
        <v>404.5</v>
      </c>
      <c r="G44" s="132">
        <f>$B$3-D44</f>
        <v>159.91860465116278</v>
      </c>
      <c r="H44" s="132">
        <f>$B$3-E44</f>
        <v>158</v>
      </c>
      <c r="I44" s="132">
        <f>SUMIFS('Sprint Backlog'!$O$3:$O$174,'Sprint Backlog'!$N$3:$N$174,"&lt;="&amp;C44)</f>
        <v>202</v>
      </c>
    </row>
    <row r="45" spans="1:9">
      <c r="A45" s="129" t="s">
        <v>686</v>
      </c>
      <c r="B45" s="130">
        <v>35</v>
      </c>
      <c r="C45" s="131">
        <v>46177</v>
      </c>
      <c r="D45" s="132">
        <f>MAX(0,$B$3-$B$3*B45/($B$5-1))</f>
        <v>239.87790697674419</v>
      </c>
      <c r="E45" s="132">
        <f>$B$3-SUMIFS('Sprint Backlog'!$F$3:$F$174,'Sprint Backlog'!$N$3:$N$174,"&lt;="&amp;C45)</f>
        <v>241.5</v>
      </c>
      <c r="F45" s="132">
        <f>$B$3</f>
        <v>404.5</v>
      </c>
      <c r="G45" s="132">
        <f>$B$3-D45</f>
        <v>164.62209302325581</v>
      </c>
      <c r="H45" s="132">
        <f>$B$3-E45</f>
        <v>163</v>
      </c>
      <c r="I45" s="132">
        <f>SUMIFS('Sprint Backlog'!$O$3:$O$174,'Sprint Backlog'!$N$3:$N$174,"&lt;="&amp;C45)</f>
        <v>209</v>
      </c>
    </row>
    <row r="46" spans="1:9">
      <c r="A46" s="129" t="s">
        <v>686</v>
      </c>
      <c r="B46" s="130">
        <v>36</v>
      </c>
      <c r="C46" s="131">
        <v>46178</v>
      </c>
      <c r="D46" s="132">
        <f>MAX(0,$B$3-$B$3*B46/($B$5-1))</f>
        <v>235.17441860465115</v>
      </c>
      <c r="E46" s="132">
        <f>$B$3-SUMIFS('Sprint Backlog'!$F$3:$F$174,'Sprint Backlog'!$N$3:$N$174,"&lt;="&amp;C46)</f>
        <v>233.5</v>
      </c>
      <c r="F46" s="132">
        <f>$B$3</f>
        <v>404.5</v>
      </c>
      <c r="G46" s="132">
        <f>$B$3-D46</f>
        <v>169.32558139534885</v>
      </c>
      <c r="H46" s="132">
        <f>$B$3-E46</f>
        <v>171</v>
      </c>
      <c r="I46" s="132">
        <f>SUMIFS('Sprint Backlog'!$O$3:$O$174,'Sprint Backlog'!$N$3:$N$174,"&lt;="&amp;C46)</f>
        <v>219</v>
      </c>
    </row>
    <row r="47" spans="1:9">
      <c r="A47" s="129" t="s">
        <v>686</v>
      </c>
      <c r="B47" s="130">
        <v>37</v>
      </c>
      <c r="C47" s="131">
        <v>46179</v>
      </c>
      <c r="D47" s="132">
        <f>MAX(0,$B$3-$B$3*B47/($B$5-1))</f>
        <v>230.47093023255815</v>
      </c>
      <c r="E47" s="132">
        <f>$B$3-SUMIFS('Sprint Backlog'!$F$3:$F$174,'Sprint Backlog'!$N$3:$N$174,"&lt;="&amp;C47)</f>
        <v>229.5</v>
      </c>
      <c r="F47" s="132">
        <f>$B$3</f>
        <v>404.5</v>
      </c>
      <c r="G47" s="132">
        <f>$B$3-D47</f>
        <v>174.02906976744185</v>
      </c>
      <c r="H47" s="132">
        <f>$B$3-E47</f>
        <v>175</v>
      </c>
      <c r="I47" s="132">
        <f>SUMIFS('Sprint Backlog'!$O$3:$O$174,'Sprint Backlog'!$N$3:$N$174,"&lt;="&amp;C47)</f>
        <v>224.5</v>
      </c>
    </row>
    <row r="48" spans="1:9">
      <c r="A48" s="129" t="s">
        <v>686</v>
      </c>
      <c r="B48" s="130">
        <v>38</v>
      </c>
      <c r="C48" s="131">
        <v>46180</v>
      </c>
      <c r="D48" s="132">
        <f>MAX(0,$B$3-$B$3*B48/($B$5-1))</f>
        <v>225.76744186046511</v>
      </c>
      <c r="E48" s="132">
        <f>$B$3-SUMIFS('Sprint Backlog'!$F$3:$F$174,'Sprint Backlog'!$N$3:$N$174,"&lt;="&amp;C48)</f>
        <v>228</v>
      </c>
      <c r="F48" s="132">
        <f>$B$3</f>
        <v>404.5</v>
      </c>
      <c r="G48" s="132">
        <f>$B$3-D48</f>
        <v>178.73255813953489</v>
      </c>
      <c r="H48" s="132">
        <f>$B$3-E48</f>
        <v>176.5</v>
      </c>
      <c r="I48" s="132">
        <f>SUMIFS('Sprint Backlog'!$O$3:$O$174,'Sprint Backlog'!$N$3:$N$174,"&lt;="&amp;C48)</f>
        <v>226.5</v>
      </c>
    </row>
    <row r="49" spans="1:9">
      <c r="A49" s="129" t="s">
        <v>686</v>
      </c>
      <c r="B49" s="130">
        <v>39</v>
      </c>
      <c r="C49" s="131">
        <v>46181</v>
      </c>
      <c r="D49" s="132">
        <f>MAX(0,$B$3-$B$3*B49/($B$5-1))</f>
        <v>221.06395348837211</v>
      </c>
      <c r="E49" s="132">
        <f>$B$3-SUMIFS('Sprint Backlog'!$F$3:$F$174,'Sprint Backlog'!$N$3:$N$174,"&lt;="&amp;C49)</f>
        <v>228</v>
      </c>
      <c r="F49" s="132">
        <f>$B$3</f>
        <v>404.5</v>
      </c>
      <c r="G49" s="132">
        <f>$B$3-D49</f>
        <v>183.43604651162789</v>
      </c>
      <c r="H49" s="132">
        <f>$B$3-E49</f>
        <v>176.5</v>
      </c>
      <c r="I49" s="132">
        <f>SUMIFS('Sprint Backlog'!$O$3:$O$174,'Sprint Backlog'!$N$3:$N$174,"&lt;="&amp;C49)</f>
        <v>226.5</v>
      </c>
    </row>
    <row r="50" spans="1:9">
      <c r="A50" s="129" t="s">
        <v>686</v>
      </c>
      <c r="B50" s="130">
        <v>40</v>
      </c>
      <c r="C50" s="131">
        <v>46182</v>
      </c>
      <c r="D50" s="132">
        <f>MAX(0,$B$3-$B$3*B50/($B$5-1))</f>
        <v>216.36046511627907</v>
      </c>
      <c r="E50" s="132">
        <f>$B$3-SUMIFS('Sprint Backlog'!$F$3:$F$174,'Sprint Backlog'!$N$3:$N$174,"&lt;="&amp;C50)</f>
        <v>228</v>
      </c>
      <c r="F50" s="132">
        <f>$B$3</f>
        <v>404.5</v>
      </c>
      <c r="G50" s="132">
        <f>$B$3-D50</f>
        <v>188.13953488372093</v>
      </c>
      <c r="H50" s="132">
        <f>$B$3-E50</f>
        <v>176.5</v>
      </c>
      <c r="I50" s="132">
        <f>SUMIFS('Sprint Backlog'!$O$3:$O$174,'Sprint Backlog'!$N$3:$N$174,"&lt;="&amp;C50)</f>
        <v>226.5</v>
      </c>
    </row>
    <row r="51" spans="1:9">
      <c r="A51" s="129" t="s">
        <v>686</v>
      </c>
      <c r="B51" s="130">
        <v>41</v>
      </c>
      <c r="C51" s="131">
        <v>46183</v>
      </c>
      <c r="D51" s="132">
        <f>MAX(0,$B$3-$B$3*B51/($B$5-1))</f>
        <v>211.65697674418604</v>
      </c>
      <c r="E51" s="132">
        <f>$B$3-SUMIFS('Sprint Backlog'!$F$3:$F$174,'Sprint Backlog'!$N$3:$N$174,"&lt;="&amp;C51)</f>
        <v>228</v>
      </c>
      <c r="F51" s="132">
        <f>$B$3</f>
        <v>404.5</v>
      </c>
      <c r="G51" s="132">
        <f>$B$3-D51</f>
        <v>192.84302325581396</v>
      </c>
      <c r="H51" s="132">
        <f>$B$3-E51</f>
        <v>176.5</v>
      </c>
      <c r="I51" s="132">
        <f>SUMIFS('Sprint Backlog'!$O$3:$O$174,'Sprint Backlog'!$N$3:$N$174,"&lt;="&amp;C51)</f>
        <v>226.5</v>
      </c>
    </row>
    <row r="52" spans="1:9">
      <c r="A52" s="129" t="s">
        <v>686</v>
      </c>
      <c r="B52" s="130">
        <v>42</v>
      </c>
      <c r="C52" s="131">
        <v>46184</v>
      </c>
      <c r="D52" s="132">
        <f>MAX(0,$B$3-$B$3*B52/($B$5-1))</f>
        <v>206.95348837209303</v>
      </c>
      <c r="E52" s="132">
        <f>$B$3-SUMIFS('Sprint Backlog'!$F$3:$F$174,'Sprint Backlog'!$N$3:$N$174,"&lt;="&amp;C52)</f>
        <v>228</v>
      </c>
      <c r="F52" s="132">
        <f>$B$3</f>
        <v>404.5</v>
      </c>
      <c r="G52" s="132">
        <f>$B$3-D52</f>
        <v>197.54651162790697</v>
      </c>
      <c r="H52" s="132">
        <f>$B$3-E52</f>
        <v>176.5</v>
      </c>
      <c r="I52" s="132">
        <f>SUMIFS('Sprint Backlog'!$O$3:$O$174,'Sprint Backlog'!$N$3:$N$174,"&lt;="&amp;C52)</f>
        <v>226.5</v>
      </c>
    </row>
    <row r="53" spans="1:9">
      <c r="A53" s="129" t="s">
        <v>686</v>
      </c>
      <c r="B53" s="130">
        <v>43</v>
      </c>
      <c r="C53" s="131">
        <v>46185</v>
      </c>
      <c r="D53" s="132">
        <f>MAX(0,$B$3-$B$3*B53/($B$5-1))</f>
        <v>202.25</v>
      </c>
      <c r="E53" s="132">
        <f>$B$3-SUMIFS('Sprint Backlog'!$F$3:$F$174,'Sprint Backlog'!$N$3:$N$174,"&lt;="&amp;C53)</f>
        <v>228</v>
      </c>
      <c r="F53" s="132">
        <f>$B$3</f>
        <v>404.5</v>
      </c>
      <c r="G53" s="132">
        <f>$B$3-D53</f>
        <v>202.25</v>
      </c>
      <c r="H53" s="132">
        <f>$B$3-E53</f>
        <v>176.5</v>
      </c>
      <c r="I53" s="132">
        <f>SUMIFS('Sprint Backlog'!$O$3:$O$174,'Sprint Backlog'!$N$3:$N$174,"&lt;="&amp;C53)</f>
        <v>226.5</v>
      </c>
    </row>
    <row r="54" spans="1:9">
      <c r="A54" s="129" t="s">
        <v>686</v>
      </c>
      <c r="B54" s="130">
        <v>44</v>
      </c>
      <c r="C54" s="131">
        <v>46186</v>
      </c>
      <c r="D54" s="132">
        <f>MAX(0,$B$3-$B$3*B54/($B$5-1))</f>
        <v>197.54651162790697</v>
      </c>
      <c r="E54" s="132">
        <f>$B$3-SUMIFS('Sprint Backlog'!$F$3:$F$174,'Sprint Backlog'!$N$3:$N$174,"&lt;="&amp;C54)</f>
        <v>228</v>
      </c>
      <c r="F54" s="132">
        <f>$B$3</f>
        <v>404.5</v>
      </c>
      <c r="G54" s="132">
        <f>$B$3-D54</f>
        <v>206.95348837209303</v>
      </c>
      <c r="H54" s="132">
        <f>$B$3-E54</f>
        <v>176.5</v>
      </c>
      <c r="I54" s="132">
        <f>SUMIFS('Sprint Backlog'!$O$3:$O$174,'Sprint Backlog'!$N$3:$N$174,"&lt;="&amp;C54)</f>
        <v>226.5</v>
      </c>
    </row>
    <row r="55" spans="1:9">
      <c r="A55" s="129" t="s">
        <v>686</v>
      </c>
      <c r="B55" s="130">
        <v>45</v>
      </c>
      <c r="C55" s="131">
        <v>46187</v>
      </c>
      <c r="D55" s="132">
        <f>MAX(0,$B$3-$B$3*B55/($B$5-1))</f>
        <v>192.84302325581396</v>
      </c>
      <c r="E55" s="132">
        <f>$B$3-SUMIFS('Sprint Backlog'!$F$3:$F$174,'Sprint Backlog'!$N$3:$N$174,"&lt;="&amp;C55)</f>
        <v>228</v>
      </c>
      <c r="F55" s="132">
        <f>$B$3</f>
        <v>404.5</v>
      </c>
      <c r="G55" s="132">
        <f>$B$3-D55</f>
        <v>211.65697674418604</v>
      </c>
      <c r="H55" s="132">
        <f>$B$3-E55</f>
        <v>176.5</v>
      </c>
      <c r="I55" s="132">
        <f>SUMIFS('Sprint Backlog'!$O$3:$O$174,'Sprint Backlog'!$N$3:$N$174,"&lt;="&amp;C55)</f>
        <v>226.5</v>
      </c>
    </row>
    <row r="56" spans="1:9">
      <c r="A56" s="129" t="s">
        <v>687</v>
      </c>
      <c r="B56" s="130">
        <v>46</v>
      </c>
      <c r="C56" s="131">
        <v>46259</v>
      </c>
      <c r="D56" s="132">
        <f>MAX(0,$B$3-$B$3*B56/($B$5-1))</f>
        <v>188.13953488372093</v>
      </c>
      <c r="E56" s="132">
        <f>$B$3-SUMIFS('Sprint Backlog'!$F$3:$F$174,'Sprint Backlog'!$N$3:$N$174,"&lt;="&amp;C56)</f>
        <v>228</v>
      </c>
      <c r="F56" s="132">
        <f>$B$3</f>
        <v>404.5</v>
      </c>
      <c r="G56" s="132">
        <f>$B$3-D56</f>
        <v>216.36046511627907</v>
      </c>
      <c r="H56" s="132">
        <f>$B$3-E56</f>
        <v>176.5</v>
      </c>
      <c r="I56" s="132">
        <f>SUMIFS('Sprint Backlog'!$O$3:$O$174,'Sprint Backlog'!$N$3:$N$174,"&lt;="&amp;C56)</f>
        <v>226.5</v>
      </c>
    </row>
    <row r="57" spans="1:9">
      <c r="A57" s="129" t="s">
        <v>687</v>
      </c>
      <c r="B57" s="130">
        <v>47</v>
      </c>
      <c r="C57" s="131">
        <v>46260</v>
      </c>
      <c r="D57" s="132">
        <f>MAX(0,$B$3-$B$3*B57/($B$5-1))</f>
        <v>183.43604651162789</v>
      </c>
      <c r="E57" s="132">
        <f>$B$3-SUMIFS('Sprint Backlog'!$F$3:$F$174,'Sprint Backlog'!$N$3:$N$174,"&lt;="&amp;C57)</f>
        <v>227</v>
      </c>
      <c r="F57" s="132">
        <f>$B$3</f>
        <v>404.5</v>
      </c>
      <c r="G57" s="132">
        <f>$B$3-D57</f>
        <v>221.06395348837211</v>
      </c>
      <c r="H57" s="132">
        <f>$B$3-E57</f>
        <v>177.5</v>
      </c>
      <c r="I57" s="132">
        <f>SUMIFS('Sprint Backlog'!$O$3:$O$174,'Sprint Backlog'!$N$3:$N$174,"&lt;="&amp;C57)</f>
        <v>231</v>
      </c>
    </row>
    <row r="58" spans="1:9">
      <c r="A58" s="129" t="s">
        <v>687</v>
      </c>
      <c r="B58" s="130">
        <v>48</v>
      </c>
      <c r="C58" s="131">
        <v>46261</v>
      </c>
      <c r="D58" s="132">
        <f>MAX(0,$B$3-$B$3*B58/($B$5-1))</f>
        <v>178.73255813953489</v>
      </c>
      <c r="E58" s="132">
        <f>$B$3-SUMIFS('Sprint Backlog'!$F$3:$F$174,'Sprint Backlog'!$N$3:$N$174,"&lt;="&amp;C58)</f>
        <v>227</v>
      </c>
      <c r="F58" s="132">
        <f>$B$3</f>
        <v>404.5</v>
      </c>
      <c r="G58" s="132">
        <f>$B$3-D58</f>
        <v>225.76744186046511</v>
      </c>
      <c r="H58" s="132">
        <f>$B$3-E58</f>
        <v>177.5</v>
      </c>
      <c r="I58" s="132">
        <f>SUMIFS('Sprint Backlog'!$O$3:$O$174,'Sprint Backlog'!$N$3:$N$174,"&lt;="&amp;C58)</f>
        <v>231</v>
      </c>
    </row>
    <row r="59" spans="1:9">
      <c r="A59" s="129" t="s">
        <v>687</v>
      </c>
      <c r="B59" s="130">
        <v>49</v>
      </c>
      <c r="C59" s="131">
        <v>46262</v>
      </c>
      <c r="D59" s="132">
        <f>MAX(0,$B$3-$B$3*B59/($B$5-1))</f>
        <v>174.02906976744185</v>
      </c>
      <c r="E59" s="132">
        <f>$B$3-SUMIFS('Sprint Backlog'!$F$3:$F$174,'Sprint Backlog'!$N$3:$N$174,"&lt;="&amp;C59)</f>
        <v>221</v>
      </c>
      <c r="F59" s="132">
        <f>$B$3</f>
        <v>404.5</v>
      </c>
      <c r="G59" s="132">
        <f>$B$3-D59</f>
        <v>230.47093023255815</v>
      </c>
      <c r="H59" s="132">
        <f>$B$3-E59</f>
        <v>183.5</v>
      </c>
      <c r="I59" s="132">
        <f>SUMIFS('Sprint Backlog'!$O$3:$O$174,'Sprint Backlog'!$N$3:$N$174,"&lt;="&amp;C59)</f>
        <v>235.5</v>
      </c>
    </row>
    <row r="60" spans="1:9">
      <c r="A60" s="129" t="s">
        <v>687</v>
      </c>
      <c r="B60" s="130">
        <v>50</v>
      </c>
      <c r="C60" s="131">
        <v>46263</v>
      </c>
      <c r="D60" s="132">
        <f>MAX(0,$B$3-$B$3*B60/($B$5-1))</f>
        <v>169.32558139534885</v>
      </c>
      <c r="E60" s="132">
        <f>$B$3-SUMIFS('Sprint Backlog'!$F$3:$F$174,'Sprint Backlog'!$N$3:$N$174,"&lt;="&amp;C60)</f>
        <v>217</v>
      </c>
      <c r="F60" s="132">
        <f>$B$3</f>
        <v>404.5</v>
      </c>
      <c r="G60" s="132">
        <f>$B$3-D60</f>
        <v>235.17441860465115</v>
      </c>
      <c r="H60" s="132">
        <f>$B$3-E60</f>
        <v>187.5</v>
      </c>
      <c r="I60" s="132">
        <f>SUMIFS('Sprint Backlog'!$O$3:$O$174,'Sprint Backlog'!$N$3:$N$174,"&lt;="&amp;C60)</f>
        <v>241</v>
      </c>
    </row>
    <row r="61" spans="1:9">
      <c r="A61" s="129" t="s">
        <v>687</v>
      </c>
      <c r="B61" s="130">
        <v>51</v>
      </c>
      <c r="C61" s="131">
        <v>46264</v>
      </c>
      <c r="D61" s="132">
        <f>MAX(0,$B$3-$B$3*B61/($B$5-1))</f>
        <v>164.62209302325581</v>
      </c>
      <c r="E61" s="132">
        <f>$B$3-SUMIFS('Sprint Backlog'!$F$3:$F$174,'Sprint Backlog'!$N$3:$N$174,"&lt;="&amp;C61)</f>
        <v>217</v>
      </c>
      <c r="F61" s="132">
        <f>$B$3</f>
        <v>404.5</v>
      </c>
      <c r="G61" s="132">
        <f>$B$3-D61</f>
        <v>239.87790697674419</v>
      </c>
      <c r="H61" s="132">
        <f>$B$3-E61</f>
        <v>187.5</v>
      </c>
      <c r="I61" s="132">
        <f>SUMIFS('Sprint Backlog'!$O$3:$O$174,'Sprint Backlog'!$N$3:$N$174,"&lt;="&amp;C61)</f>
        <v>241</v>
      </c>
    </row>
    <row r="62" spans="1:9">
      <c r="A62" s="129" t="s">
        <v>687</v>
      </c>
      <c r="B62" s="130">
        <v>52</v>
      </c>
      <c r="C62" s="131">
        <v>46265</v>
      </c>
      <c r="D62" s="132">
        <f>MAX(0,$B$3-$B$3*B62/($B$5-1))</f>
        <v>159.91860465116278</v>
      </c>
      <c r="E62" s="132">
        <f>$B$3-SUMIFS('Sprint Backlog'!$F$3:$F$174,'Sprint Backlog'!$N$3:$N$174,"&lt;="&amp;C62)</f>
        <v>213</v>
      </c>
      <c r="F62" s="132">
        <f>$B$3</f>
        <v>404.5</v>
      </c>
      <c r="G62" s="132">
        <f>$B$3-D62</f>
        <v>244.58139534883722</v>
      </c>
      <c r="H62" s="132">
        <f>$B$3-E62</f>
        <v>191.5</v>
      </c>
      <c r="I62" s="132">
        <f>SUMIFS('Sprint Backlog'!$O$3:$O$174,'Sprint Backlog'!$N$3:$N$174,"&lt;="&amp;C62)</f>
        <v>244.5</v>
      </c>
    </row>
    <row r="63" spans="1:9">
      <c r="A63" s="129" t="s">
        <v>687</v>
      </c>
      <c r="B63" s="130">
        <v>53</v>
      </c>
      <c r="C63" s="131">
        <v>46266</v>
      </c>
      <c r="D63" s="132">
        <f>MAX(0,$B$3-$B$3*B63/($B$5-1))</f>
        <v>155.21511627906978</v>
      </c>
      <c r="E63" s="132">
        <f>$B$3-SUMIFS('Sprint Backlog'!$F$3:$F$174,'Sprint Backlog'!$N$3:$N$174,"&lt;="&amp;C63)</f>
        <v>205</v>
      </c>
      <c r="F63" s="132">
        <f>$B$3</f>
        <v>404.5</v>
      </c>
      <c r="G63" s="132">
        <f>$B$3-D63</f>
        <v>249.28488372093022</v>
      </c>
      <c r="H63" s="132">
        <f>$B$3-E63</f>
        <v>199.5</v>
      </c>
      <c r="I63" s="132">
        <f>SUMIFS('Sprint Backlog'!$O$3:$O$174,'Sprint Backlog'!$N$3:$N$174,"&lt;="&amp;C63)</f>
        <v>252</v>
      </c>
    </row>
    <row r="64" spans="1:9">
      <c r="A64" s="129" t="s">
        <v>687</v>
      </c>
      <c r="B64" s="130">
        <v>54</v>
      </c>
      <c r="C64" s="131">
        <v>46267</v>
      </c>
      <c r="D64" s="132">
        <f>MAX(0,$B$3-$B$3*B64/($B$5-1))</f>
        <v>150.51162790697674</v>
      </c>
      <c r="E64" s="132">
        <f>$B$3-SUMIFS('Sprint Backlog'!$F$3:$F$174,'Sprint Backlog'!$N$3:$N$174,"&lt;="&amp;C64)</f>
        <v>198</v>
      </c>
      <c r="F64" s="132">
        <f>$B$3</f>
        <v>404.5</v>
      </c>
      <c r="G64" s="132">
        <f>$B$3-D64</f>
        <v>253.98837209302326</v>
      </c>
      <c r="H64" s="132">
        <f>$B$3-E64</f>
        <v>206.5</v>
      </c>
      <c r="I64" s="132">
        <f>SUMIFS('Sprint Backlog'!$O$3:$O$174,'Sprint Backlog'!$N$3:$N$174,"&lt;="&amp;C64)</f>
        <v>259</v>
      </c>
    </row>
    <row r="65" spans="1:9">
      <c r="A65" s="129" t="s">
        <v>687</v>
      </c>
      <c r="B65" s="130">
        <v>55</v>
      </c>
      <c r="C65" s="131">
        <v>46268</v>
      </c>
      <c r="D65" s="132">
        <f>MAX(0,$B$3-$B$3*B65/($B$5-1))</f>
        <v>145.80813953488371</v>
      </c>
      <c r="E65" s="132">
        <f>$B$3-SUMIFS('Sprint Backlog'!$F$3:$F$174,'Sprint Backlog'!$N$3:$N$174,"&lt;="&amp;C65)</f>
        <v>190</v>
      </c>
      <c r="F65" s="132">
        <f>$B$3</f>
        <v>404.5</v>
      </c>
      <c r="G65" s="132">
        <f>$B$3-D65</f>
        <v>258.69186046511629</v>
      </c>
      <c r="H65" s="132">
        <f>$B$3-E65</f>
        <v>214.5</v>
      </c>
      <c r="I65" s="132">
        <f>SUMIFS('Sprint Backlog'!$O$3:$O$174,'Sprint Backlog'!$N$3:$N$174,"&lt;="&amp;C65)</f>
        <v>272</v>
      </c>
    </row>
    <row r="66" spans="1:9">
      <c r="A66" s="129" t="s">
        <v>687</v>
      </c>
      <c r="B66" s="130">
        <v>56</v>
      </c>
      <c r="C66" s="131">
        <v>46269</v>
      </c>
      <c r="D66" s="132">
        <f>MAX(0,$B$3-$B$3*B66/($B$5-1))</f>
        <v>141.10465116279067</v>
      </c>
      <c r="E66" s="132">
        <f>$B$3-SUMIFS('Sprint Backlog'!$F$3:$F$174,'Sprint Backlog'!$N$3:$N$174,"&lt;="&amp;C66)</f>
        <v>186</v>
      </c>
      <c r="F66" s="132">
        <f>$B$3</f>
        <v>404.5</v>
      </c>
      <c r="G66" s="132">
        <f>$B$3-D66</f>
        <v>263.39534883720933</v>
      </c>
      <c r="H66" s="132">
        <f>$B$3-E66</f>
        <v>218.5</v>
      </c>
      <c r="I66" s="132">
        <f>SUMIFS('Sprint Backlog'!$O$3:$O$174,'Sprint Backlog'!$N$3:$N$174,"&lt;="&amp;C66)</f>
        <v>276.5</v>
      </c>
    </row>
    <row r="67" spans="1:9">
      <c r="A67" s="129" t="s">
        <v>687</v>
      </c>
      <c r="B67" s="130">
        <v>57</v>
      </c>
      <c r="C67" s="131">
        <v>46270</v>
      </c>
      <c r="D67" s="132">
        <f>MAX(0,$B$3-$B$3*B67/($B$5-1))</f>
        <v>136.4011627906977</v>
      </c>
      <c r="E67" s="132">
        <f>$B$3-SUMIFS('Sprint Backlog'!$F$3:$F$174,'Sprint Backlog'!$N$3:$N$174,"&lt;="&amp;C67)</f>
        <v>174</v>
      </c>
      <c r="F67" s="132">
        <f>$B$3</f>
        <v>404.5</v>
      </c>
      <c r="G67" s="132">
        <f>$B$3-D67</f>
        <v>268.0988372093023</v>
      </c>
      <c r="H67" s="132">
        <f>$B$3-E67</f>
        <v>230.5</v>
      </c>
      <c r="I67" s="132">
        <f>SUMIFS('Sprint Backlog'!$O$3:$O$174,'Sprint Backlog'!$N$3:$N$174,"&lt;="&amp;C67)</f>
        <v>290</v>
      </c>
    </row>
    <row r="68" spans="1:9">
      <c r="A68" s="129" t="s">
        <v>687</v>
      </c>
      <c r="B68" s="130">
        <v>58</v>
      </c>
      <c r="C68" s="131">
        <v>46271</v>
      </c>
      <c r="D68" s="132">
        <f>MAX(0,$B$3-$B$3*B68/($B$5-1))</f>
        <v>131.69767441860466</v>
      </c>
      <c r="E68" s="132">
        <f>$B$3-SUMIFS('Sprint Backlog'!$F$3:$F$174,'Sprint Backlog'!$N$3:$N$174,"&lt;="&amp;C68)</f>
        <v>174</v>
      </c>
      <c r="F68" s="132">
        <f>$B$3</f>
        <v>404.5</v>
      </c>
      <c r="G68" s="132">
        <f>$B$3-D68</f>
        <v>272.80232558139534</v>
      </c>
      <c r="H68" s="132">
        <f>$B$3-E68</f>
        <v>230.5</v>
      </c>
      <c r="I68" s="132">
        <f>SUMIFS('Sprint Backlog'!$O$3:$O$174,'Sprint Backlog'!$N$3:$N$174,"&lt;="&amp;C68)</f>
        <v>290</v>
      </c>
    </row>
    <row r="69" spans="1:9">
      <c r="A69" s="129" t="s">
        <v>687</v>
      </c>
      <c r="B69" s="130">
        <v>59</v>
      </c>
      <c r="C69" s="131">
        <v>46272</v>
      </c>
      <c r="D69" s="132">
        <f>MAX(0,$B$3-$B$3*B69/($B$5-1))</f>
        <v>126.99418604651163</v>
      </c>
      <c r="E69" s="132">
        <f>$B$3-SUMIFS('Sprint Backlog'!$F$3:$F$174,'Sprint Backlog'!$N$3:$N$174,"&lt;="&amp;C69)</f>
        <v>168</v>
      </c>
      <c r="F69" s="132">
        <f>$B$3</f>
        <v>404.5</v>
      </c>
      <c r="G69" s="132">
        <f>$B$3-D69</f>
        <v>277.50581395348837</v>
      </c>
      <c r="H69" s="132">
        <f>$B$3-E69</f>
        <v>236.5</v>
      </c>
      <c r="I69" s="132">
        <f>SUMIFS('Sprint Backlog'!$O$3:$O$174,'Sprint Backlog'!$N$3:$N$174,"&lt;="&amp;C69)</f>
        <v>299.5</v>
      </c>
    </row>
    <row r="70" spans="1:9">
      <c r="A70" s="129" t="s">
        <v>687</v>
      </c>
      <c r="B70" s="130">
        <v>60</v>
      </c>
      <c r="C70" s="131">
        <v>46273</v>
      </c>
      <c r="D70" s="132">
        <f>MAX(0,$B$3-$B$3*B70/($B$5-1))</f>
        <v>122.2906976744186</v>
      </c>
      <c r="E70" s="132">
        <f>$B$3-SUMIFS('Sprint Backlog'!$F$3:$F$174,'Sprint Backlog'!$N$3:$N$174,"&lt;="&amp;C70)</f>
        <v>162</v>
      </c>
      <c r="F70" s="132">
        <f>$B$3</f>
        <v>404.5</v>
      </c>
      <c r="G70" s="132">
        <f>$B$3-D70</f>
        <v>282.2093023255814</v>
      </c>
      <c r="H70" s="132">
        <f>$B$3-E70</f>
        <v>242.5</v>
      </c>
      <c r="I70" s="132">
        <f>SUMIFS('Sprint Backlog'!$O$3:$O$174,'Sprint Backlog'!$N$3:$N$174,"&lt;="&amp;C70)</f>
        <v>307.5</v>
      </c>
    </row>
    <row r="71" spans="1:9">
      <c r="A71" s="129" t="s">
        <v>687</v>
      </c>
      <c r="B71" s="130">
        <v>61</v>
      </c>
      <c r="C71" s="131">
        <v>46274</v>
      </c>
      <c r="D71" s="132">
        <f>MAX(0,$B$3-$B$3*B71/($B$5-1))</f>
        <v>117.58720930232556</v>
      </c>
      <c r="E71" s="132">
        <f>$B$3-SUMIFS('Sprint Backlog'!$F$3:$F$174,'Sprint Backlog'!$N$3:$N$174,"&lt;="&amp;C71)</f>
        <v>162</v>
      </c>
      <c r="F71" s="132">
        <f>$B$3</f>
        <v>404.5</v>
      </c>
      <c r="G71" s="132">
        <f>$B$3-D71</f>
        <v>286.91279069767444</v>
      </c>
      <c r="H71" s="132">
        <f>$B$3-E71</f>
        <v>242.5</v>
      </c>
      <c r="I71" s="132">
        <f>SUMIFS('Sprint Backlog'!$O$3:$O$174,'Sprint Backlog'!$N$3:$N$174,"&lt;="&amp;C71)</f>
        <v>307.5</v>
      </c>
    </row>
    <row r="72" spans="1:9">
      <c r="A72" s="129" t="s">
        <v>687</v>
      </c>
      <c r="B72" s="130">
        <v>62</v>
      </c>
      <c r="C72" s="131">
        <v>46275</v>
      </c>
      <c r="D72" s="132">
        <f>MAX(0,$B$3-$B$3*B72/($B$5-1))</f>
        <v>112.88372093023258</v>
      </c>
      <c r="E72" s="132">
        <f>$B$3-SUMIFS('Sprint Backlog'!$F$3:$F$174,'Sprint Backlog'!$N$3:$N$174,"&lt;="&amp;C72)</f>
        <v>142</v>
      </c>
      <c r="F72" s="132">
        <f>$B$3</f>
        <v>404.5</v>
      </c>
      <c r="G72" s="132">
        <f>$B$3-D72</f>
        <v>291.61627906976742</v>
      </c>
      <c r="H72" s="132">
        <f>$B$3-E72</f>
        <v>262.5</v>
      </c>
      <c r="I72" s="132">
        <f>SUMIFS('Sprint Backlog'!$O$3:$O$174,'Sprint Backlog'!$N$3:$N$174,"&lt;="&amp;C72)</f>
        <v>338</v>
      </c>
    </row>
    <row r="73" spans="1:9">
      <c r="A73" s="129" t="s">
        <v>687</v>
      </c>
      <c r="B73" s="130">
        <v>63</v>
      </c>
      <c r="C73" s="131">
        <v>46276</v>
      </c>
      <c r="D73" s="132">
        <f>MAX(0,$B$3-$B$3*B73/($B$5-1))</f>
        <v>108.18023255813955</v>
      </c>
      <c r="E73" s="132">
        <f>$B$3-SUMIFS('Sprint Backlog'!$F$3:$F$174,'Sprint Backlog'!$N$3:$N$174,"&lt;="&amp;C73)</f>
        <v>134</v>
      </c>
      <c r="F73" s="132">
        <f>$B$3</f>
        <v>404.5</v>
      </c>
      <c r="G73" s="132">
        <f>$B$3-D73</f>
        <v>296.31976744186045</v>
      </c>
      <c r="H73" s="132">
        <f>$B$3-E73</f>
        <v>270.5</v>
      </c>
      <c r="I73" s="132">
        <f>SUMIFS('Sprint Backlog'!$O$3:$O$174,'Sprint Backlog'!$N$3:$N$174,"&lt;="&amp;C73)</f>
        <v>347.5</v>
      </c>
    </row>
    <row r="74" spans="1:9">
      <c r="A74" s="129" t="s">
        <v>687</v>
      </c>
      <c r="B74" s="130">
        <v>64</v>
      </c>
      <c r="C74" s="131">
        <v>46277</v>
      </c>
      <c r="D74" s="132">
        <f>MAX(0,$B$3-$B$3*B74/($B$5-1))</f>
        <v>103.47674418604652</v>
      </c>
      <c r="E74" s="132">
        <f>$B$3-SUMIFS('Sprint Backlog'!$F$3:$F$174,'Sprint Backlog'!$N$3:$N$174,"&lt;="&amp;C74)</f>
        <v>119</v>
      </c>
      <c r="F74" s="132">
        <f>$B$3</f>
        <v>404.5</v>
      </c>
      <c r="G74" s="132">
        <f>$B$3-D74</f>
        <v>301.02325581395348</v>
      </c>
      <c r="H74" s="132">
        <f>$B$3-E74</f>
        <v>285.5</v>
      </c>
      <c r="I74" s="132">
        <f>SUMIFS('Sprint Backlog'!$O$3:$O$174,'Sprint Backlog'!$N$3:$N$174,"&lt;="&amp;C74)</f>
        <v>373</v>
      </c>
    </row>
    <row r="75" spans="1:9">
      <c r="A75" s="129" t="s">
        <v>687</v>
      </c>
      <c r="B75" s="130">
        <v>65</v>
      </c>
      <c r="C75" s="131">
        <v>46278</v>
      </c>
      <c r="D75" s="132">
        <f>MAX(0,$B$3-$B$3*B75/($B$5-1))</f>
        <v>98.773255813953483</v>
      </c>
      <c r="E75" s="132">
        <f>$B$3-SUMIFS('Sprint Backlog'!$F$3:$F$174,'Sprint Backlog'!$N$3:$N$174,"&lt;="&amp;C75)</f>
        <v>110.5</v>
      </c>
      <c r="F75" s="132">
        <f>$B$3</f>
        <v>404.5</v>
      </c>
      <c r="G75" s="132">
        <f>$B$3-D75</f>
        <v>305.72674418604652</v>
      </c>
      <c r="H75" s="132">
        <f>$B$3-E75</f>
        <v>294</v>
      </c>
      <c r="I75" s="132">
        <f>SUMIFS('Sprint Backlog'!$O$3:$O$174,'Sprint Backlog'!$N$3:$N$174,"&lt;="&amp;C75)</f>
        <v>390</v>
      </c>
    </row>
    <row r="76" spans="1:9">
      <c r="A76" s="129" t="s">
        <v>688</v>
      </c>
      <c r="B76" s="130">
        <v>66</v>
      </c>
      <c r="C76" s="131">
        <v>46279</v>
      </c>
      <c r="D76" s="132">
        <f>MAX(0,$B$3-$B$3*B76/($B$5-1))</f>
        <v>94.069767441860449</v>
      </c>
      <c r="E76" s="132">
        <f>$B$3-SUMIFS('Sprint Backlog'!$F$3:$F$174,'Sprint Backlog'!$N$3:$N$174,"&lt;="&amp;C76)</f>
        <v>109.5</v>
      </c>
      <c r="F76" s="132">
        <f>$B$3</f>
        <v>404.5</v>
      </c>
      <c r="G76" s="132">
        <f>$B$3-D76</f>
        <v>310.43023255813955</v>
      </c>
      <c r="H76" s="132">
        <f>$B$3-E76</f>
        <v>295</v>
      </c>
      <c r="I76" s="132">
        <f>SUMIFS('Sprint Backlog'!$O$3:$O$174,'Sprint Backlog'!$N$3:$N$174,"&lt;="&amp;C76)</f>
        <v>391</v>
      </c>
    </row>
    <row r="77" spans="1:9">
      <c r="A77" s="129" t="s">
        <v>688</v>
      </c>
      <c r="B77" s="130">
        <v>67</v>
      </c>
      <c r="C77" s="131">
        <v>46280</v>
      </c>
      <c r="D77" s="132">
        <f>MAX(0,$B$3-$B$3*B77/($B$5-1))</f>
        <v>89.366279069767415</v>
      </c>
      <c r="E77" s="132">
        <f>$B$3-SUMIFS('Sprint Backlog'!$F$3:$F$174,'Sprint Backlog'!$N$3:$N$174,"&lt;="&amp;C77)</f>
        <v>108.5</v>
      </c>
      <c r="F77" s="132">
        <f>$B$3</f>
        <v>404.5</v>
      </c>
      <c r="G77" s="132">
        <f>$B$3-D77</f>
        <v>315.13372093023258</v>
      </c>
      <c r="H77" s="132">
        <f>$B$3-E77</f>
        <v>296</v>
      </c>
      <c r="I77" s="132">
        <f>SUMIFS('Sprint Backlog'!$O$3:$O$174,'Sprint Backlog'!$N$3:$N$174,"&lt;="&amp;C77)</f>
        <v>392</v>
      </c>
    </row>
    <row r="78" spans="1:9">
      <c r="A78" s="129" t="s">
        <v>688</v>
      </c>
      <c r="B78" s="130">
        <v>68</v>
      </c>
      <c r="C78" s="131">
        <v>46281</v>
      </c>
      <c r="D78" s="132">
        <f>MAX(0,$B$3-$B$3*B78/($B$5-1))</f>
        <v>84.662790697674438</v>
      </c>
      <c r="E78" s="132">
        <f>$B$3-SUMIFS('Sprint Backlog'!$F$3:$F$174,'Sprint Backlog'!$N$3:$N$174,"&lt;="&amp;C78)</f>
        <v>103.5</v>
      </c>
      <c r="F78" s="132">
        <f>$B$3</f>
        <v>404.5</v>
      </c>
      <c r="G78" s="132">
        <f>$B$3-D78</f>
        <v>319.83720930232556</v>
      </c>
      <c r="H78" s="132">
        <f>$B$3-E78</f>
        <v>301</v>
      </c>
      <c r="I78" s="132">
        <f>SUMIFS('Sprint Backlog'!$O$3:$O$174,'Sprint Backlog'!$N$3:$N$174,"&lt;="&amp;C78)</f>
        <v>398</v>
      </c>
    </row>
    <row r="79" spans="1:9">
      <c r="A79" s="129" t="s">
        <v>688</v>
      </c>
      <c r="B79" s="130">
        <v>69</v>
      </c>
      <c r="C79" s="131">
        <v>46282</v>
      </c>
      <c r="D79" s="132">
        <f>MAX(0,$B$3-$B$3*B79/($B$5-1))</f>
        <v>79.959302325581405</v>
      </c>
      <c r="E79" s="132">
        <f>$B$3-SUMIFS('Sprint Backlog'!$F$3:$F$174,'Sprint Backlog'!$N$3:$N$174,"&lt;="&amp;C79)</f>
        <v>102.5</v>
      </c>
      <c r="F79" s="132">
        <f>$B$3</f>
        <v>404.5</v>
      </c>
      <c r="G79" s="132">
        <f>$B$3-D79</f>
        <v>324.5406976744186</v>
      </c>
      <c r="H79" s="132">
        <f>$B$3-E79</f>
        <v>302</v>
      </c>
      <c r="I79" s="132">
        <f>SUMIFS('Sprint Backlog'!$O$3:$O$174,'Sprint Backlog'!$N$3:$N$174,"&lt;="&amp;C79)</f>
        <v>399</v>
      </c>
    </row>
    <row r="80" spans="1:9">
      <c r="A80" s="129" t="s">
        <v>688</v>
      </c>
      <c r="B80" s="130">
        <v>70</v>
      </c>
      <c r="C80" s="131">
        <v>46283</v>
      </c>
      <c r="D80" s="132">
        <f>MAX(0,$B$3-$B$3*B80/($B$5-1))</f>
        <v>75.255813953488371</v>
      </c>
      <c r="E80" s="132">
        <f>$B$3-SUMIFS('Sprint Backlog'!$F$3:$F$174,'Sprint Backlog'!$N$3:$N$174,"&lt;="&amp;C80)</f>
        <v>101.5</v>
      </c>
      <c r="F80" s="132">
        <f>$B$3</f>
        <v>404.5</v>
      </c>
      <c r="G80" s="132">
        <f>$B$3-D80</f>
        <v>329.24418604651163</v>
      </c>
      <c r="H80" s="132">
        <f>$B$3-E80</f>
        <v>303</v>
      </c>
      <c r="I80" s="132">
        <f>SUMIFS('Sprint Backlog'!$O$3:$O$174,'Sprint Backlog'!$N$3:$N$174,"&lt;="&amp;C80)</f>
        <v>400</v>
      </c>
    </row>
    <row r="81" spans="1:9">
      <c r="A81" s="129" t="s">
        <v>688</v>
      </c>
      <c r="B81" s="130">
        <v>71</v>
      </c>
      <c r="C81" s="131">
        <v>46284</v>
      </c>
      <c r="D81" s="132">
        <f>MAX(0,$B$3-$B$3*B81/($B$5-1))</f>
        <v>70.552325581395337</v>
      </c>
      <c r="E81" s="132">
        <f>$B$3-SUMIFS('Sprint Backlog'!$F$3:$F$174,'Sprint Backlog'!$N$3:$N$174,"&lt;="&amp;C81)</f>
        <v>97.5</v>
      </c>
      <c r="F81" s="132">
        <f>$B$3</f>
        <v>404.5</v>
      </c>
      <c r="G81" s="132">
        <f>$B$3-D81</f>
        <v>333.94767441860466</v>
      </c>
      <c r="H81" s="132">
        <f>$B$3-E81</f>
        <v>307</v>
      </c>
      <c r="I81" s="132">
        <f>SUMIFS('Sprint Backlog'!$O$3:$O$174,'Sprint Backlog'!$N$3:$N$174,"&lt;="&amp;C81)</f>
        <v>405</v>
      </c>
    </row>
    <row r="82" spans="1:9">
      <c r="A82" s="129" t="s">
        <v>688</v>
      </c>
      <c r="B82" s="130">
        <v>72</v>
      </c>
      <c r="C82" s="131">
        <v>46285</v>
      </c>
      <c r="D82" s="132">
        <f>MAX(0,$B$3-$B$3*B82/($B$5-1))</f>
        <v>65.848837209302303</v>
      </c>
      <c r="E82" s="132">
        <f>$B$3-SUMIFS('Sprint Backlog'!$F$3:$F$174,'Sprint Backlog'!$N$3:$N$174,"&lt;="&amp;C82)</f>
        <v>93.5</v>
      </c>
      <c r="F82" s="132">
        <f>$B$3</f>
        <v>404.5</v>
      </c>
      <c r="G82" s="132">
        <f>$B$3-D82</f>
        <v>338.6511627906977</v>
      </c>
      <c r="H82" s="132">
        <f>$B$3-E82</f>
        <v>311</v>
      </c>
      <c r="I82" s="132">
        <f>SUMIFS('Sprint Backlog'!$O$3:$O$174,'Sprint Backlog'!$N$3:$N$174,"&lt;="&amp;C82)</f>
        <v>410</v>
      </c>
    </row>
    <row r="83" spans="1:9">
      <c r="A83" s="129" t="s">
        <v>688</v>
      </c>
      <c r="B83" s="130">
        <v>73</v>
      </c>
      <c r="C83" s="131">
        <v>46286</v>
      </c>
      <c r="D83" s="132">
        <f>MAX(0,$B$3-$B$3*B83/($B$5-1))</f>
        <v>61.145348837209326</v>
      </c>
      <c r="E83" s="132">
        <f>$B$3-SUMIFS('Sprint Backlog'!$F$3:$F$174,'Sprint Backlog'!$N$3:$N$174,"&lt;="&amp;C83)</f>
        <v>93.5</v>
      </c>
      <c r="F83" s="132">
        <f>$B$3</f>
        <v>404.5</v>
      </c>
      <c r="G83" s="132">
        <f>$B$3-D83</f>
        <v>343.35465116279067</v>
      </c>
      <c r="H83" s="132">
        <f>$B$3-E83</f>
        <v>311</v>
      </c>
      <c r="I83" s="132">
        <f>SUMIFS('Sprint Backlog'!$O$3:$O$174,'Sprint Backlog'!$N$3:$N$174,"&lt;="&amp;C83)</f>
        <v>410</v>
      </c>
    </row>
    <row r="84" spans="1:9">
      <c r="A84" s="129" t="s">
        <v>688</v>
      </c>
      <c r="B84" s="130">
        <v>74</v>
      </c>
      <c r="C84" s="131">
        <v>46287</v>
      </c>
      <c r="D84" s="132">
        <f>MAX(0,$B$3-$B$3*B84/($B$5-1))</f>
        <v>56.441860465116292</v>
      </c>
      <c r="E84" s="132">
        <f>$B$3-SUMIFS('Sprint Backlog'!$F$3:$F$174,'Sprint Backlog'!$N$3:$N$174,"&lt;="&amp;C84)</f>
        <v>91.5</v>
      </c>
      <c r="F84" s="132">
        <f>$B$3</f>
        <v>404.5</v>
      </c>
      <c r="G84" s="132">
        <f>$B$3-D84</f>
        <v>348.05813953488371</v>
      </c>
      <c r="H84" s="132">
        <f>$B$3-E84</f>
        <v>313</v>
      </c>
      <c r="I84" s="132">
        <f>SUMIFS('Sprint Backlog'!$O$3:$O$174,'Sprint Backlog'!$N$3:$N$174,"&lt;="&amp;C84)</f>
        <v>411.5</v>
      </c>
    </row>
    <row r="85" spans="1:9">
      <c r="A85" s="129" t="s">
        <v>688</v>
      </c>
      <c r="B85" s="130">
        <v>75</v>
      </c>
      <c r="C85" s="131">
        <v>46288</v>
      </c>
      <c r="D85" s="132">
        <f>MAX(0,$B$3-$B$3*B85/($B$5-1))</f>
        <v>51.738372093023258</v>
      </c>
      <c r="E85" s="132">
        <f>$B$3-SUMIFS('Sprint Backlog'!$F$3:$F$174,'Sprint Backlog'!$N$3:$N$174,"&lt;="&amp;C85)</f>
        <v>87.5</v>
      </c>
      <c r="F85" s="132">
        <f>$B$3</f>
        <v>404.5</v>
      </c>
      <c r="G85" s="132">
        <f>$B$3-D85</f>
        <v>352.76162790697674</v>
      </c>
      <c r="H85" s="132">
        <f>$B$3-E85</f>
        <v>317</v>
      </c>
      <c r="I85" s="132">
        <f>SUMIFS('Sprint Backlog'!$O$3:$O$174,'Sprint Backlog'!$N$3:$N$174,"&lt;="&amp;C85)</f>
        <v>415.5</v>
      </c>
    </row>
    <row r="86" spans="1:9">
      <c r="A86" s="129" t="s">
        <v>688</v>
      </c>
      <c r="B86" s="130">
        <v>76</v>
      </c>
      <c r="C86" s="131">
        <v>46289</v>
      </c>
      <c r="D86" s="132">
        <f>MAX(0,$B$3-$B$3*B86/($B$5-1))</f>
        <v>47.034883720930225</v>
      </c>
      <c r="E86" s="132">
        <f>$B$3-SUMIFS('Sprint Backlog'!$F$3:$F$174,'Sprint Backlog'!$N$3:$N$174,"&lt;="&amp;C86)</f>
        <v>84.5</v>
      </c>
      <c r="F86" s="132">
        <f>$B$3</f>
        <v>404.5</v>
      </c>
      <c r="G86" s="132">
        <f>$B$3-D86</f>
        <v>357.46511627906978</v>
      </c>
      <c r="H86" s="132">
        <f>$B$3-E86</f>
        <v>320</v>
      </c>
      <c r="I86" s="132">
        <f>SUMIFS('Sprint Backlog'!$O$3:$O$174,'Sprint Backlog'!$N$3:$N$174,"&lt;="&amp;C86)</f>
        <v>418</v>
      </c>
    </row>
    <row r="87" spans="1:9">
      <c r="A87" s="129" t="s">
        <v>688</v>
      </c>
      <c r="B87" s="130">
        <v>77</v>
      </c>
      <c r="C87" s="131">
        <v>46290</v>
      </c>
      <c r="D87" s="132">
        <f>MAX(0,$B$3-$B$3*B87/($B$5-1))</f>
        <v>42.331395348837191</v>
      </c>
      <c r="E87" s="132">
        <f>$B$3-SUMIFS('Sprint Backlog'!$F$3:$F$174,'Sprint Backlog'!$N$3:$N$174,"&lt;="&amp;C87)</f>
        <v>75.5</v>
      </c>
      <c r="F87" s="132">
        <f>$B$3</f>
        <v>404.5</v>
      </c>
      <c r="G87" s="132">
        <f>$B$3-D87</f>
        <v>362.16860465116281</v>
      </c>
      <c r="H87" s="132">
        <f>$B$3-E87</f>
        <v>329</v>
      </c>
      <c r="I87" s="132">
        <f>SUMIFS('Sprint Backlog'!$O$3:$O$174,'Sprint Backlog'!$N$3:$N$174,"&lt;="&amp;C87)</f>
        <v>429.5</v>
      </c>
    </row>
    <row r="88" spans="1:9">
      <c r="A88" s="129" t="s">
        <v>688</v>
      </c>
      <c r="B88" s="130">
        <v>78</v>
      </c>
      <c r="C88" s="131">
        <v>46291</v>
      </c>
      <c r="D88" s="132">
        <f>MAX(0,$B$3-$B$3*B88/($B$5-1))</f>
        <v>37.627906976744214</v>
      </c>
      <c r="E88" s="132">
        <f>$B$3-SUMIFS('Sprint Backlog'!$F$3:$F$174,'Sprint Backlog'!$N$3:$N$174,"&lt;="&amp;C88)</f>
        <v>72.5</v>
      </c>
      <c r="F88" s="132">
        <f>$B$3</f>
        <v>404.5</v>
      </c>
      <c r="G88" s="132">
        <f>$B$3-D88</f>
        <v>366.87209302325579</v>
      </c>
      <c r="H88" s="132">
        <f>$B$3-E88</f>
        <v>332</v>
      </c>
      <c r="I88" s="132">
        <f>SUMIFS('Sprint Backlog'!$O$3:$O$174,'Sprint Backlog'!$N$3:$N$174,"&lt;="&amp;C88)</f>
        <v>433</v>
      </c>
    </row>
    <row r="89" spans="1:9">
      <c r="A89" s="129" t="s">
        <v>688</v>
      </c>
      <c r="B89" s="130">
        <v>79</v>
      </c>
      <c r="C89" s="131">
        <v>46292</v>
      </c>
      <c r="D89" s="132">
        <f>MAX(0,$B$3-$B$3*B89/($B$5-1))</f>
        <v>32.92441860465118</v>
      </c>
      <c r="E89" s="132">
        <f>$B$3-SUMIFS('Sprint Backlog'!$F$3:$F$174,'Sprint Backlog'!$N$3:$N$174,"&lt;="&amp;C89)</f>
        <v>65.5</v>
      </c>
      <c r="F89" s="132">
        <f>$B$3</f>
        <v>404.5</v>
      </c>
      <c r="G89" s="132">
        <f>$B$3-D89</f>
        <v>371.57558139534882</v>
      </c>
      <c r="H89" s="132">
        <f>$B$3-E89</f>
        <v>339</v>
      </c>
      <c r="I89" s="132">
        <f>SUMIFS('Sprint Backlog'!$O$3:$O$174,'Sprint Backlog'!$N$3:$N$174,"&lt;="&amp;C89)</f>
        <v>441.5</v>
      </c>
    </row>
    <row r="90" spans="1:9">
      <c r="A90" s="129" t="s">
        <v>688</v>
      </c>
      <c r="B90" s="130">
        <v>80</v>
      </c>
      <c r="C90" s="131">
        <v>46293</v>
      </c>
      <c r="D90" s="132">
        <f>MAX(0,$B$3-$B$3*B90/($B$5-1))</f>
        <v>28.220930232558146</v>
      </c>
      <c r="E90" s="132">
        <f>$B$3-SUMIFS('Sprint Backlog'!$F$3:$F$174,'Sprint Backlog'!$N$3:$N$174,"&lt;="&amp;C90)</f>
        <v>63.5</v>
      </c>
      <c r="F90" s="132">
        <f>$B$3</f>
        <v>404.5</v>
      </c>
      <c r="G90" s="132">
        <f>$B$3-D90</f>
        <v>376.27906976744185</v>
      </c>
      <c r="H90" s="132">
        <f>$B$3-E90</f>
        <v>341</v>
      </c>
      <c r="I90" s="132">
        <f>SUMIFS('Sprint Backlog'!$O$3:$O$174,'Sprint Backlog'!$N$3:$N$174,"&lt;="&amp;C90)</f>
        <v>443.5</v>
      </c>
    </row>
    <row r="91" spans="1:9">
      <c r="A91" s="129" t="s">
        <v>688</v>
      </c>
      <c r="B91" s="130">
        <v>81</v>
      </c>
      <c r="C91" s="131">
        <v>46294</v>
      </c>
      <c r="D91" s="132">
        <f>MAX(0,$B$3-$B$3*B91/($B$5-1))</f>
        <v>23.517441860465112</v>
      </c>
      <c r="E91" s="132">
        <f>$B$3-SUMIFS('Sprint Backlog'!$F$3:$F$174,'Sprint Backlog'!$N$3:$N$174,"&lt;="&amp;C91)</f>
        <v>59.5</v>
      </c>
      <c r="F91" s="132">
        <f>$B$3</f>
        <v>404.5</v>
      </c>
      <c r="G91" s="132">
        <f>$B$3-D91</f>
        <v>380.98255813953489</v>
      </c>
      <c r="H91" s="132">
        <f>$B$3-E91</f>
        <v>345</v>
      </c>
      <c r="I91" s="132">
        <f>SUMIFS('Sprint Backlog'!$O$3:$O$174,'Sprint Backlog'!$N$3:$N$174,"&lt;="&amp;C91)</f>
        <v>447.5</v>
      </c>
    </row>
    <row r="92" spans="1:9">
      <c r="A92" s="129" t="s">
        <v>688</v>
      </c>
      <c r="B92" s="130">
        <v>82</v>
      </c>
      <c r="C92" s="131">
        <v>46295</v>
      </c>
      <c r="D92" s="132">
        <f>MAX(0,$B$3-$B$3*B92/($B$5-1))</f>
        <v>18.813953488372078</v>
      </c>
      <c r="E92" s="132">
        <f>$B$3-SUMIFS('Sprint Backlog'!$F$3:$F$174,'Sprint Backlog'!$N$3:$N$174,"&lt;="&amp;C92)</f>
        <v>55.5</v>
      </c>
      <c r="F92" s="132">
        <f>$B$3</f>
        <v>404.5</v>
      </c>
      <c r="G92" s="132">
        <f>$B$3-D92</f>
        <v>385.68604651162792</v>
      </c>
      <c r="H92" s="132">
        <f>$B$3-E92</f>
        <v>349</v>
      </c>
      <c r="I92" s="132">
        <f>SUMIFS('Sprint Backlog'!$O$3:$O$174,'Sprint Backlog'!$N$3:$N$174,"&lt;="&amp;C92)</f>
        <v>451.5</v>
      </c>
    </row>
    <row r="93" spans="1:9">
      <c r="A93" s="129" t="s">
        <v>688</v>
      </c>
      <c r="B93" s="130">
        <v>83</v>
      </c>
      <c r="C93" s="131">
        <v>46296</v>
      </c>
      <c r="D93" s="132">
        <f>MAX(0,$B$3-$B$3*B93/($B$5-1))</f>
        <v>14.110465116279045</v>
      </c>
      <c r="E93" s="132">
        <f>$B$3-SUMIFS('Sprint Backlog'!$F$3:$F$174,'Sprint Backlog'!$N$3:$N$174,"&lt;="&amp;C93)</f>
        <v>50.5</v>
      </c>
      <c r="F93" s="132">
        <f>$B$3</f>
        <v>404.5</v>
      </c>
      <c r="G93" s="132">
        <f>$B$3-D93</f>
        <v>390.38953488372096</v>
      </c>
      <c r="H93" s="132">
        <f>$B$3-E93</f>
        <v>354</v>
      </c>
      <c r="I93" s="132">
        <f>SUMIFS('Sprint Backlog'!$O$3:$O$174,'Sprint Backlog'!$N$3:$N$174,"&lt;="&amp;C93)</f>
        <v>457</v>
      </c>
    </row>
    <row r="94" spans="1:9">
      <c r="A94" s="129" t="s">
        <v>688</v>
      </c>
      <c r="B94" s="130">
        <v>84</v>
      </c>
      <c r="C94" s="131">
        <v>46297</v>
      </c>
      <c r="D94" s="132">
        <f>MAX(0,$B$3-$B$3*B94/($B$5-1))</f>
        <v>9.4069767441860677</v>
      </c>
      <c r="E94" s="132">
        <f>$B$3-SUMIFS('Sprint Backlog'!$F$3:$F$174,'Sprint Backlog'!$N$3:$N$174,"&lt;="&amp;C94)</f>
        <v>48.5</v>
      </c>
      <c r="F94" s="132">
        <f>$B$3</f>
        <v>404.5</v>
      </c>
      <c r="G94" s="132">
        <f>$B$3-D94</f>
        <v>395.09302325581393</v>
      </c>
      <c r="H94" s="132">
        <f>$B$3-E94</f>
        <v>356</v>
      </c>
      <c r="I94" s="132">
        <f>SUMIFS('Sprint Backlog'!$O$3:$O$174,'Sprint Backlog'!$N$3:$N$174,"&lt;="&amp;C94)</f>
        <v>460</v>
      </c>
    </row>
    <row r="95" spans="1:9">
      <c r="A95" s="129" t="s">
        <v>688</v>
      </c>
      <c r="B95" s="130">
        <v>85</v>
      </c>
      <c r="C95" s="131">
        <v>46298</v>
      </c>
      <c r="D95" s="132">
        <f>MAX(0,$B$3-$B$3*B95/($B$5-1))</f>
        <v>4.7034883720930338</v>
      </c>
      <c r="E95" s="132">
        <f>$B$3-SUMIFS('Sprint Backlog'!$F$3:$F$174,'Sprint Backlog'!$N$3:$N$174,"&lt;="&amp;C95)</f>
        <v>42.5</v>
      </c>
      <c r="F95" s="132">
        <f>$B$3</f>
        <v>404.5</v>
      </c>
      <c r="G95" s="132">
        <f>$B$3-D95</f>
        <v>399.79651162790697</v>
      </c>
      <c r="H95" s="132">
        <f>$B$3-E95</f>
        <v>362</v>
      </c>
      <c r="I95" s="132">
        <f>SUMIFS('Sprint Backlog'!$O$3:$O$174,'Sprint Backlog'!$N$3:$N$174,"&lt;="&amp;C95)</f>
        <v>466.5</v>
      </c>
    </row>
    <row r="96" spans="1:9">
      <c r="A96" s="129" t="s">
        <v>688</v>
      </c>
      <c r="B96" s="130">
        <v>86</v>
      </c>
      <c r="C96" s="131">
        <v>46299</v>
      </c>
      <c r="D96" s="132">
        <f>MAX(0,$B$3-$B$3*B96/($B$5-1))</f>
        <v>0</v>
      </c>
      <c r="E96" s="132">
        <f>$B$3-SUMIFS('Sprint Backlog'!$F$3:$F$174,'Sprint Backlog'!$N$3:$N$174,"&lt;="&amp;C96)</f>
        <v>0</v>
      </c>
      <c r="F96" s="132">
        <f>$B$3</f>
        <v>404.5</v>
      </c>
      <c r="G96" s="132">
        <f>$B$3-D96</f>
        <v>404.5</v>
      </c>
      <c r="H96" s="132">
        <f>$B$3-E96</f>
        <v>404.5</v>
      </c>
      <c r="I96" s="132">
        <f>SUMIFS('Sprint Backlog'!$O$3:$O$174,'Sprint Backlog'!$N$3:$N$174,"&lt;="&amp;C96)</f>
        <v>517</v>
      </c>
    </row>
  </sheetData>
  <mergeCells count="2">
    <mergeCell ref="A1:I1"/>
    <mergeCell ref="D3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SALAS ORTIZ FELIPE P</cp:lastModifiedBy>
  <cp:revision>1</cp:revision>
  <dcterms:created xsi:type="dcterms:W3CDTF">2026-05-11T19:38:02Z</dcterms:created>
  <dcterms:modified xsi:type="dcterms:W3CDTF">2026-09-30T00:45:56Z</dcterms:modified>
  <cp:category/>
  <cp:contentStatus/>
</cp:coreProperties>
</file>